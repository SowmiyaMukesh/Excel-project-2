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c4b49c99b199c169/Desktop/projects/excel/"/>
    </mc:Choice>
  </mc:AlternateContent>
  <xr:revisionPtr revIDLastSave="2" documentId="8_{02F4FD46-A85B-4C6D-9CD6-2F514A5671B8}" xr6:coauthVersionLast="47" xr6:coauthVersionMax="47" xr10:uidLastSave="{7287DB63-D8E9-43D3-8150-C765C2E1A409}"/>
  <bookViews>
    <workbookView xWindow="-108" yWindow="-108" windowWidth="23256" windowHeight="12456" firstSheet="1" activeTab="2" xr2:uid="{24ADA2CA-19E0-4F8A-B6D9-8D952DA4A3FC}"/>
  </bookViews>
  <sheets>
    <sheet name="pivot" sheetId="6" r:id="rId1"/>
    <sheet name="HR Dashboard" sheetId="7" r:id="rId2"/>
    <sheet name="data" sheetId="1" r:id="rId3"/>
  </sheets>
  <definedNames>
    <definedName name="_xlchart.v2.0" hidden="1">pivot!$W$16:$W$22</definedName>
    <definedName name="_xlchart.v2.1" hidden="1">pivot!$X$15</definedName>
    <definedName name="_xlchart.v2.2" hidden="1">pivot!$X$16:$X$22</definedName>
    <definedName name="Slicer_Department">#N/A</definedName>
    <definedName name="Slicer_Reporting_Manager">#N/A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6" l="1"/>
  <c r="C18" i="6"/>
  <c r="C17" i="6"/>
  <c r="P172" i="1"/>
  <c r="O172" i="1"/>
  <c r="P171" i="1"/>
  <c r="O171" i="1"/>
  <c r="P170" i="1"/>
  <c r="O170" i="1"/>
  <c r="P169" i="1"/>
  <c r="O169" i="1"/>
  <c r="P168" i="1"/>
  <c r="O168" i="1"/>
  <c r="P167" i="1"/>
  <c r="O167" i="1"/>
  <c r="P166" i="1"/>
  <c r="O166" i="1"/>
  <c r="P165" i="1"/>
  <c r="O165" i="1"/>
  <c r="P164" i="1"/>
  <c r="O164" i="1"/>
  <c r="P163" i="1"/>
  <c r="O163" i="1"/>
  <c r="P162" i="1"/>
  <c r="O162" i="1"/>
  <c r="P161" i="1"/>
  <c r="O161" i="1"/>
  <c r="P160" i="1"/>
  <c r="O160" i="1"/>
  <c r="P159" i="1"/>
  <c r="O159" i="1"/>
  <c r="P158" i="1"/>
  <c r="O158" i="1"/>
  <c r="P157" i="1"/>
  <c r="O157" i="1"/>
  <c r="P156" i="1"/>
  <c r="O156" i="1"/>
  <c r="P155" i="1"/>
  <c r="O155" i="1"/>
  <c r="P154" i="1"/>
  <c r="O154" i="1"/>
  <c r="P153" i="1"/>
  <c r="O153" i="1"/>
  <c r="P152" i="1"/>
  <c r="O152" i="1"/>
  <c r="P151" i="1"/>
  <c r="O151" i="1"/>
  <c r="P150" i="1"/>
  <c r="O150" i="1"/>
  <c r="P149" i="1"/>
  <c r="O149" i="1"/>
  <c r="P148" i="1"/>
  <c r="O148" i="1"/>
  <c r="P147" i="1"/>
  <c r="O147" i="1"/>
  <c r="P146" i="1"/>
  <c r="O146" i="1"/>
  <c r="P145" i="1"/>
  <c r="O145" i="1"/>
  <c r="P144" i="1"/>
  <c r="O144" i="1"/>
  <c r="P143" i="1"/>
  <c r="O143" i="1"/>
  <c r="P142" i="1"/>
  <c r="O142" i="1"/>
  <c r="P141" i="1"/>
  <c r="O141" i="1"/>
  <c r="P140" i="1"/>
  <c r="O140" i="1"/>
  <c r="P139" i="1"/>
  <c r="O139" i="1"/>
  <c r="P138" i="1"/>
  <c r="O138" i="1"/>
  <c r="P137" i="1"/>
  <c r="O137" i="1"/>
  <c r="P136" i="1"/>
  <c r="O136" i="1"/>
  <c r="P135" i="1"/>
  <c r="O135" i="1"/>
  <c r="P134" i="1"/>
  <c r="O134" i="1"/>
  <c r="P133" i="1"/>
  <c r="O133" i="1"/>
  <c r="P132" i="1"/>
  <c r="O132" i="1"/>
  <c r="P131" i="1"/>
  <c r="O131" i="1"/>
  <c r="P130" i="1"/>
  <c r="O130" i="1"/>
  <c r="P129" i="1"/>
  <c r="O129" i="1"/>
  <c r="P128" i="1"/>
  <c r="O128" i="1"/>
  <c r="P127" i="1"/>
  <c r="O127" i="1"/>
  <c r="P126" i="1"/>
  <c r="O126" i="1"/>
  <c r="P125" i="1"/>
  <c r="O125" i="1"/>
  <c r="P124" i="1"/>
  <c r="O124" i="1"/>
  <c r="P123" i="1"/>
  <c r="O123" i="1"/>
  <c r="P122" i="1"/>
  <c r="O122" i="1"/>
  <c r="P121" i="1"/>
  <c r="O121" i="1"/>
  <c r="P120" i="1"/>
  <c r="O120" i="1"/>
  <c r="P119" i="1"/>
  <c r="O119" i="1"/>
  <c r="P118" i="1"/>
  <c r="O118" i="1"/>
  <c r="P117" i="1"/>
  <c r="O117" i="1"/>
  <c r="P116" i="1"/>
  <c r="O116" i="1"/>
  <c r="P115" i="1"/>
  <c r="O115" i="1"/>
  <c r="P114" i="1"/>
  <c r="O114" i="1"/>
  <c r="P113" i="1"/>
  <c r="O113" i="1"/>
  <c r="P112" i="1"/>
  <c r="O112" i="1"/>
  <c r="P111" i="1"/>
  <c r="O111" i="1"/>
  <c r="P110" i="1"/>
  <c r="O110" i="1"/>
  <c r="P109" i="1"/>
  <c r="O109" i="1"/>
  <c r="P108" i="1"/>
  <c r="O108" i="1"/>
  <c r="P107" i="1"/>
  <c r="O107" i="1"/>
  <c r="P106" i="1"/>
  <c r="O106" i="1"/>
  <c r="P105" i="1"/>
  <c r="O105" i="1"/>
  <c r="P104" i="1"/>
  <c r="O104" i="1"/>
  <c r="P103" i="1"/>
  <c r="O103" i="1"/>
  <c r="P102" i="1"/>
  <c r="O102" i="1"/>
  <c r="P101" i="1"/>
  <c r="O101" i="1"/>
  <c r="P100" i="1"/>
  <c r="O100" i="1"/>
  <c r="P99" i="1"/>
  <c r="O99" i="1"/>
  <c r="P98" i="1"/>
  <c r="O98" i="1"/>
  <c r="P97" i="1"/>
  <c r="O97" i="1"/>
  <c r="P96" i="1"/>
  <c r="O96" i="1"/>
  <c r="P95" i="1"/>
  <c r="O95" i="1"/>
  <c r="P94" i="1"/>
  <c r="O94" i="1"/>
  <c r="P93" i="1"/>
  <c r="O93" i="1"/>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P6" i="1"/>
  <c r="O6" i="1"/>
  <c r="P5" i="1"/>
  <c r="O5" i="1"/>
  <c r="P4" i="1"/>
  <c r="O4" i="1"/>
  <c r="P3" i="1"/>
  <c r="O3" i="1"/>
  <c r="P2" i="1"/>
  <c r="O2" i="1"/>
  <c r="F21" i="6"/>
  <c r="X18" i="6"/>
  <c r="P16" i="6"/>
  <c r="X17" i="6"/>
  <c r="H19" i="6"/>
  <c r="F16" i="6"/>
  <c r="G19" i="6"/>
  <c r="AE16" i="6"/>
  <c r="X20" i="6"/>
  <c r="AE21" i="6"/>
  <c r="H21" i="6"/>
  <c r="G20" i="6"/>
  <c r="AE20" i="6"/>
  <c r="P17" i="6"/>
  <c r="T16" i="6"/>
  <c r="G16" i="6"/>
  <c r="X16" i="6"/>
  <c r="H17" i="6"/>
  <c r="F17" i="6"/>
  <c r="F20" i="6"/>
  <c r="T19" i="6"/>
  <c r="L17" i="6"/>
  <c r="G17" i="6"/>
  <c r="T21" i="6"/>
  <c r="X22" i="6"/>
  <c r="H16" i="6"/>
  <c r="AE18" i="6"/>
  <c r="G21" i="6"/>
  <c r="H20" i="6"/>
  <c r="T18" i="6"/>
  <c r="T17" i="6"/>
  <c r="C16" i="6"/>
  <c r="AA17" i="6"/>
  <c r="AE17" i="6"/>
  <c r="H18" i="6"/>
  <c r="X21" i="6"/>
  <c r="P19" i="6"/>
  <c r="P18" i="6"/>
  <c r="X19" i="6"/>
  <c r="F18" i="6"/>
  <c r="AE19" i="6"/>
  <c r="L16" i="6"/>
  <c r="T20" i="6"/>
  <c r="G18" i="6"/>
  <c r="F19" i="6"/>
  <c r="AA16" i="6"/>
  <c r="T22" i="6"/>
  <c r="AA18" i="6" l="1"/>
  <c r="AB18" i="6" s="1"/>
  <c r="I16" i="6"/>
  <c r="I17" i="6" s="1"/>
  <c r="I18" i="6" s="1"/>
  <c r="I19" i="6" s="1"/>
  <c r="I20" i="6" s="1"/>
  <c r="I21" i="6" s="1"/>
  <c r="X23" i="6"/>
  <c r="T23" i="6"/>
  <c r="U23" i="6" s="1"/>
  <c r="AE22" i="6"/>
  <c r="AF22" i="6" s="1"/>
  <c r="L18" i="6"/>
  <c r="M17" i="6" s="1"/>
  <c r="C19" i="6"/>
  <c r="P20" i="6"/>
  <c r="Q20" i="6" s="1"/>
  <c r="AB17" i="6" l="1"/>
  <c r="AB16" i="6"/>
  <c r="U21" i="6"/>
  <c r="AF18" i="6"/>
  <c r="AF20" i="6"/>
  <c r="AF21" i="6"/>
  <c r="M16" i="6"/>
  <c r="M18" i="6" s="1"/>
  <c r="U16" i="6"/>
  <c r="U19" i="6"/>
  <c r="U20" i="6"/>
  <c r="U18" i="6"/>
  <c r="AF17" i="6"/>
  <c r="U17" i="6"/>
  <c r="AF19" i="6"/>
  <c r="AF16" i="6"/>
  <c r="U22" i="6"/>
  <c r="Q17" i="6"/>
  <c r="Q18" i="6"/>
  <c r="Q19" i="6"/>
  <c r="Q16" i="6"/>
</calcChain>
</file>

<file path=xl/sharedStrings.xml><?xml version="1.0" encoding="utf-8"?>
<sst xmlns="http://schemas.openxmlformats.org/spreadsheetml/2006/main" count="1562" uniqueCount="255">
  <si>
    <t>Emp Status</t>
  </si>
  <si>
    <t>On-Board</t>
  </si>
  <si>
    <t>Count of Name</t>
  </si>
  <si>
    <t>Column Labels</t>
  </si>
  <si>
    <t>Row Labels</t>
  </si>
  <si>
    <t>Attrition</t>
  </si>
  <si>
    <t>Transfer</t>
  </si>
  <si>
    <t>Grand Total</t>
  </si>
  <si>
    <t>Female</t>
  </si>
  <si>
    <t>Contract</t>
  </si>
  <si>
    <t>Accounting</t>
  </si>
  <si>
    <t>Ryan Simmons</t>
  </si>
  <si>
    <t>5+ years</t>
  </si>
  <si>
    <t>Male</t>
  </si>
  <si>
    <t>Management</t>
  </si>
  <si>
    <t>Finance</t>
  </si>
  <si>
    <t>Janelle Wiley</t>
  </si>
  <si>
    <t>Permanent</t>
  </si>
  <si>
    <t>4+ years</t>
  </si>
  <si>
    <t>Professional</t>
  </si>
  <si>
    <t>HR</t>
  </si>
  <si>
    <t>Roberta Moyer</t>
  </si>
  <si>
    <t>3+ years</t>
  </si>
  <si>
    <t>Trainees</t>
  </si>
  <si>
    <t>Legal</t>
  </si>
  <si>
    <t>Alejandra Mack</t>
  </si>
  <si>
    <t>2+ years</t>
  </si>
  <si>
    <t>Marketing</t>
  </si>
  <si>
    <t>Darryl Leon</t>
  </si>
  <si>
    <t>1+ years</t>
  </si>
  <si>
    <t>Operations</t>
  </si>
  <si>
    <t>Jefferson Perry</t>
  </si>
  <si>
    <t>&lt;1 year</t>
  </si>
  <si>
    <t>Sales</t>
  </si>
  <si>
    <t>Geneva Hardy</t>
  </si>
  <si>
    <t>KPI</t>
  </si>
  <si>
    <t>Value</t>
  </si>
  <si>
    <t>Year</t>
  </si>
  <si>
    <t>HC Growth</t>
  </si>
  <si>
    <t>Gender</t>
  </si>
  <si>
    <t>HC</t>
  </si>
  <si>
    <t>HC %</t>
  </si>
  <si>
    <t>Levels</t>
  </si>
  <si>
    <t>HC%</t>
  </si>
  <si>
    <t>Dept</t>
  </si>
  <si>
    <t>Managers</t>
  </si>
  <si>
    <t>HC Reporting</t>
  </si>
  <si>
    <t>Emp Type</t>
  </si>
  <si>
    <t>Stability</t>
  </si>
  <si>
    <t>Overall HC</t>
  </si>
  <si>
    <t>Active HC</t>
  </si>
  <si>
    <t>Attrition %</t>
  </si>
  <si>
    <t>Movement</t>
  </si>
  <si>
    <t>Emp Id</t>
  </si>
  <si>
    <t>Name</t>
  </si>
  <si>
    <t>Date of Joining</t>
  </si>
  <si>
    <t>Data of Relieving</t>
  </si>
  <si>
    <t>Reporting Manager</t>
  </si>
  <si>
    <t>Category</t>
  </si>
  <si>
    <t>Date of Birth</t>
  </si>
  <si>
    <t>Marital status</t>
  </si>
  <si>
    <t>Grade</t>
  </si>
  <si>
    <t>Department</t>
  </si>
  <si>
    <t>Total Experience</t>
  </si>
  <si>
    <t>IJP</t>
  </si>
  <si>
    <t>CT18807</t>
  </si>
  <si>
    <t>Adrian Odonnell</t>
  </si>
  <si>
    <t>Single</t>
  </si>
  <si>
    <t>CT12674</t>
  </si>
  <si>
    <t>Marina Velazquez</t>
  </si>
  <si>
    <t>Married</t>
  </si>
  <si>
    <t>CT11735</t>
  </si>
  <si>
    <t>Regina Schaefer</t>
  </si>
  <si>
    <t>CT10131</t>
  </si>
  <si>
    <t>Donna Sparks</t>
  </si>
  <si>
    <t>CT16953</t>
  </si>
  <si>
    <t>Sal Glass</t>
  </si>
  <si>
    <t>CT11213</t>
  </si>
  <si>
    <t>Malik Schneider</t>
  </si>
  <si>
    <t>CT17933</t>
  </si>
  <si>
    <t>Fanny Hampton</t>
  </si>
  <si>
    <t>CT17253</t>
  </si>
  <si>
    <t>Edison York</t>
  </si>
  <si>
    <t>CT14693</t>
  </si>
  <si>
    <t>Geraldo Pugh</t>
  </si>
  <si>
    <t>CT11465</t>
  </si>
  <si>
    <t>Ellis Best</t>
  </si>
  <si>
    <t>CT12948</t>
  </si>
  <si>
    <t>Olen Walter</t>
  </si>
  <si>
    <t>CT11145</t>
  </si>
  <si>
    <t>Mckinley Baird</t>
  </si>
  <si>
    <t>CT18269</t>
  </si>
  <si>
    <t>Maura Huynh</t>
  </si>
  <si>
    <t>CT13931</t>
  </si>
  <si>
    <t>Buster Joyce</t>
  </si>
  <si>
    <t>CT15252</t>
  </si>
  <si>
    <t>Rosanna Bauer</t>
  </si>
  <si>
    <t>CT13664</t>
  </si>
  <si>
    <t>Marion Harmon</t>
  </si>
  <si>
    <t>CT10043</t>
  </si>
  <si>
    <t>Shawn Ross</t>
  </si>
  <si>
    <t>CT16547</t>
  </si>
  <si>
    <t>Houston Wilson</t>
  </si>
  <si>
    <t>CT11188</t>
  </si>
  <si>
    <t>Maricela Gates</t>
  </si>
  <si>
    <t>CT14537</t>
  </si>
  <si>
    <t>Fletcher Tate</t>
  </si>
  <si>
    <t>CT14690</t>
  </si>
  <si>
    <t>Emily Davis</t>
  </si>
  <si>
    <t>CT16195</t>
  </si>
  <si>
    <t>Penelope Jordan</t>
  </si>
  <si>
    <t>CT16735</t>
  </si>
  <si>
    <t>Alfredo Mcclain</t>
  </si>
  <si>
    <t>Preston Case</t>
  </si>
  <si>
    <t>Branden Kaiser</t>
  </si>
  <si>
    <t>Julia Bell</t>
  </si>
  <si>
    <t>Sammy Hancock</t>
  </si>
  <si>
    <t>Mabel Cuevas</t>
  </si>
  <si>
    <t>Norris Madden</t>
  </si>
  <si>
    <t>Vincenzo Mcdowell</t>
  </si>
  <si>
    <t>Chris Mcbride</t>
  </si>
  <si>
    <t>Wesley Berger</t>
  </si>
  <si>
    <t>Bart Sims</t>
  </si>
  <si>
    <t>Tricia Arroyo</t>
  </si>
  <si>
    <t>Kennith Barber</t>
  </si>
  <si>
    <t>Alonzo Harrison</t>
  </si>
  <si>
    <t>Kirk Wagner</t>
  </si>
  <si>
    <t>Zackary Tucker</t>
  </si>
  <si>
    <t>Roberto Ford</t>
  </si>
  <si>
    <t>Sadie Mcmahon</t>
  </si>
  <si>
    <t>Darla Parks</t>
  </si>
  <si>
    <t>Letitia Church</t>
  </si>
  <si>
    <t>Collin Paul</t>
  </si>
  <si>
    <t>Frances Leblanc</t>
  </si>
  <si>
    <t>Alexis Conway</t>
  </si>
  <si>
    <t>Chi Preston</t>
  </si>
  <si>
    <t>Randolph Reilly</t>
  </si>
  <si>
    <t>Howard Wiggins</t>
  </si>
  <si>
    <t>Palmer Hart</t>
  </si>
  <si>
    <t>Lesa Terrell</t>
  </si>
  <si>
    <t>Celeste Moses</t>
  </si>
  <si>
    <t>Leanne Mosley</t>
  </si>
  <si>
    <t>Renaldo Navarro</t>
  </si>
  <si>
    <t>Sonia Ortiz</t>
  </si>
  <si>
    <t>Faith Lopez</t>
  </si>
  <si>
    <t>Kim Ramirez</t>
  </si>
  <si>
    <t>Mariana Chavez</t>
  </si>
  <si>
    <t>Tracey Burch</t>
  </si>
  <si>
    <t>Gabriela Juarez</t>
  </si>
  <si>
    <t>Katheryn Trevino</t>
  </si>
  <si>
    <t>Angelita Townsend</t>
  </si>
  <si>
    <t>Damon Burgess</t>
  </si>
  <si>
    <t>Olen Watts</t>
  </si>
  <si>
    <t>Raymond Levine</t>
  </si>
  <si>
    <t>Sally Hinton</t>
  </si>
  <si>
    <t>Katelyn Ware</t>
  </si>
  <si>
    <t>Jessie Bowen</t>
  </si>
  <si>
    <t>Mac Marquez</t>
  </si>
  <si>
    <t>OnRoll</t>
  </si>
  <si>
    <t>Spencer Webb</t>
  </si>
  <si>
    <t>Valentin Mcdonald</t>
  </si>
  <si>
    <t>Royce Schneider</t>
  </si>
  <si>
    <t>Kara Mclean</t>
  </si>
  <si>
    <t>Damian Mckee</t>
  </si>
  <si>
    <t>Mohamed Duran</t>
  </si>
  <si>
    <t>Vera Harvey</t>
  </si>
  <si>
    <t>Cristina David</t>
  </si>
  <si>
    <t>Florence Randall</t>
  </si>
  <si>
    <t>Andrea Logan</t>
  </si>
  <si>
    <t>Barrett Wallace</t>
  </si>
  <si>
    <t>Claude Ramsey</t>
  </si>
  <si>
    <t>Mason Wells</t>
  </si>
  <si>
    <t>Whitney Vance</t>
  </si>
  <si>
    <t>Bobbie Harvey</t>
  </si>
  <si>
    <t>Russel Fox</t>
  </si>
  <si>
    <t>Benita Holland</t>
  </si>
  <si>
    <t>Cory Leblanc</t>
  </si>
  <si>
    <t>Isaiah George</t>
  </si>
  <si>
    <t>Brad Nichols</t>
  </si>
  <si>
    <t>Quentin Mcdonald</t>
  </si>
  <si>
    <t>Johnie Pruitt</t>
  </si>
  <si>
    <t>Walker Whitney</t>
  </si>
  <si>
    <t>Alexander Fowler</t>
  </si>
  <si>
    <t>Susanna Humphrey</t>
  </si>
  <si>
    <t>Beth Lowe</t>
  </si>
  <si>
    <t>Casandra Aguilar</t>
  </si>
  <si>
    <t>Lynn Andersen</t>
  </si>
  <si>
    <t>Leola Vega</t>
  </si>
  <si>
    <t>Hillary Spencer</t>
  </si>
  <si>
    <t>Joesph Jones</t>
  </si>
  <si>
    <t>Otha May</t>
  </si>
  <si>
    <t>Ophelia Black</t>
  </si>
  <si>
    <t>Helena Williamson</t>
  </si>
  <si>
    <t>Megan Kent</t>
  </si>
  <si>
    <t>Rufus Escobar</t>
  </si>
  <si>
    <t>Ericka Hurst</t>
  </si>
  <si>
    <t>Johnny Cisneros</t>
  </si>
  <si>
    <t>Alba Norton</t>
  </si>
  <si>
    <t>Sanford Patterson</t>
  </si>
  <si>
    <t>Blanche Greer</t>
  </si>
  <si>
    <t>Nita Powers</t>
  </si>
  <si>
    <t>Francesco Blanchard</t>
  </si>
  <si>
    <t>Elias Davis</t>
  </si>
  <si>
    <t>Lucio Christian</t>
  </si>
  <si>
    <t>Greg Schaefer</t>
  </si>
  <si>
    <t>Adriana Little</t>
  </si>
  <si>
    <t>Abdul Khan</t>
  </si>
  <si>
    <t>Marissa Mckee</t>
  </si>
  <si>
    <t>Ashlee Ortega</t>
  </si>
  <si>
    <t>Edmund Lawson</t>
  </si>
  <si>
    <t>Linda Jacobs</t>
  </si>
  <si>
    <t>Kelley Harding</t>
  </si>
  <si>
    <t>Rose Carney</t>
  </si>
  <si>
    <t>Emery Goodwin</t>
  </si>
  <si>
    <t>Derick Singh</t>
  </si>
  <si>
    <t>Hassan Wilcox</t>
  </si>
  <si>
    <t>Natalie Serrano</t>
  </si>
  <si>
    <t>Sandy Singleton</t>
  </si>
  <si>
    <t>Josiah Hart</t>
  </si>
  <si>
    <t>Wayne Hartman</t>
  </si>
  <si>
    <t>Sallie Carpenter</t>
  </si>
  <si>
    <t>Allen Walters</t>
  </si>
  <si>
    <t>Flora Bass</t>
  </si>
  <si>
    <t>Roberto Harper</t>
  </si>
  <si>
    <t>Isabella Miles</t>
  </si>
  <si>
    <t>Consuelo Beck</t>
  </si>
  <si>
    <t>Barney Velasquez</t>
  </si>
  <si>
    <t>Jamaal Delgado</t>
  </si>
  <si>
    <t>Glenda Ayers</t>
  </si>
  <si>
    <t>Vonda Chandler</t>
  </si>
  <si>
    <t>Elma Perkins</t>
  </si>
  <si>
    <t>Irving Good</t>
  </si>
  <si>
    <t>Carlo Stephens</t>
  </si>
  <si>
    <t>Fermin Maddox</t>
  </si>
  <si>
    <t>Wendell Bonilla</t>
  </si>
  <si>
    <t>Hank Copeland</t>
  </si>
  <si>
    <t>Luciano Arnold</t>
  </si>
  <si>
    <t>Aimee Freeman</t>
  </si>
  <si>
    <t>Jarrett Henson</t>
  </si>
  <si>
    <t>Garland Barber</t>
  </si>
  <si>
    <t>Filiberto Baird</t>
  </si>
  <si>
    <t>Reed Pena</t>
  </si>
  <si>
    <t>Cecile Garner</t>
  </si>
  <si>
    <t>Art Kim</t>
  </si>
  <si>
    <t>Grover Kramer</t>
  </si>
  <si>
    <t>Milan Pope</t>
  </si>
  <si>
    <t>Randal Mata</t>
  </si>
  <si>
    <t>Pete Arroyo</t>
  </si>
  <si>
    <t>Luna Sanders</t>
  </si>
  <si>
    <t>Santos Mooney</t>
  </si>
  <si>
    <t>Theodore Dinh</t>
  </si>
  <si>
    <t>Austin Vo</t>
  </si>
  <si>
    <t>Jermaine Benitez</t>
  </si>
  <si>
    <t>Joshua Gupta</t>
  </si>
  <si>
    <t>Dave Armstrong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</si>
</sst>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409]d\-mmm;@"/>
  </numFmts>
  <fonts count="6"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
      <b/>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s>
  <borders count="3">
    <border>
      <left/>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s>
  <cellStyleXfs count="2">
    <xf numFmtId="0" fontId="0" fillId="0" borderId="0"/>
    <xf numFmtId="9" fontId="5" fillId="0" borderId="0" applyFont="0" applyFill="0" applyBorder="0" applyAlignment="0" applyProtection="0"/>
  </cellStyleXfs>
  <cellXfs count="16">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2" xfId="0" applyFont="1" applyBorder="1"/>
    <xf numFmtId="0" fontId="3" fillId="0" borderId="2" xfId="0" applyFont="1" applyBorder="1" applyAlignment="1">
      <alignment horizontal="left"/>
    </xf>
    <xf numFmtId="0" fontId="3" fillId="0" borderId="2" xfId="0" applyFont="1" applyBorder="1"/>
    <xf numFmtId="164" fontId="3" fillId="0" borderId="2" xfId="0" applyNumberFormat="1" applyFont="1" applyBorder="1" applyAlignment="1">
      <alignment horizontal="right" vertical="center"/>
    </xf>
    <xf numFmtId="164" fontId="3" fillId="0" borderId="2" xfId="0" applyNumberFormat="1" applyFont="1" applyBorder="1" applyAlignment="1">
      <alignment horizontal="left" vertical="center"/>
    </xf>
    <xf numFmtId="165" fontId="3" fillId="0" borderId="2" xfId="0" applyNumberFormat="1" applyFont="1" applyBorder="1" applyAlignment="1">
      <alignment horizontal="left"/>
    </xf>
    <xf numFmtId="0" fontId="3" fillId="3" borderId="2" xfId="0" applyFont="1" applyFill="1" applyBorder="1"/>
    <xf numFmtId="0" fontId="0" fillId="0" borderId="0" xfId="0" pivotButton="1"/>
    <xf numFmtId="0" fontId="0" fillId="0" borderId="0" xfId="0" applyAlignment="1">
      <alignment horizontal="left"/>
    </xf>
    <xf numFmtId="0" fontId="0" fillId="0" borderId="0" xfId="0" applyAlignment="1">
      <alignment horizontal="center"/>
    </xf>
    <xf numFmtId="0" fontId="4" fillId="4" borderId="0" xfId="0" applyFont="1" applyFill="1" applyAlignment="1">
      <alignment horizontal="center"/>
    </xf>
    <xf numFmtId="9" fontId="0" fillId="0" borderId="0" xfId="1" applyFont="1" applyAlignment="1">
      <alignment horizontal="center"/>
    </xf>
    <xf numFmtId="9" fontId="4" fillId="4" borderId="0" xfId="0" applyNumberFormat="1" applyFont="1" applyFill="1" applyAlignment="1">
      <alignment horizontal="center"/>
    </xf>
  </cellXfs>
  <cellStyles count="2">
    <cellStyle name="Normal" xfId="0" builtinId="0"/>
    <cellStyle name="Percent" xfId="1" builtinId="5"/>
  </cellStyles>
  <dxfs count="4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7" tint="0.79998168889431442"/>
        </patternFill>
      </fill>
    </dxf>
    <dxf>
      <fill>
        <patternFill>
          <bgColor rgb="FFFFFF00"/>
        </patternFill>
      </fill>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9" tint="0.79998168889431442"/>
        </patternFill>
      </fill>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9" tint="0.79998168889431442"/>
        </patternFill>
      </fill>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0"/>
        <color theme="1"/>
        <name val="Aptos Narrow"/>
        <family val="2"/>
        <scheme val="minor"/>
      </font>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0"/>
        <color theme="1"/>
        <name val="Aptos Narrow"/>
        <family val="2"/>
        <scheme val="minor"/>
      </font>
      <numFmt numFmtId="0" formatCode="General"/>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fill>
        <patternFill patternType="none">
          <fgColor indexed="64"/>
          <bgColor indexed="65"/>
        </patternFill>
      </fill>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auto="1"/>
        <name val="Aptos Narrow"/>
        <family val="2"/>
        <scheme val="minor"/>
      </font>
      <numFmt numFmtId="164" formatCode="[$-409]d\-mmm\-yy;@"/>
      <fill>
        <patternFill patternType="solid">
          <fgColor indexed="64"/>
          <bgColor theme="9" tint="0.59999389629810485"/>
        </patternFill>
      </fill>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top style="hair">
          <color auto="1"/>
        </top>
      </border>
    </dxf>
    <dxf>
      <border diagonalUp="0" diagonalDown="0">
        <left style="hair">
          <color auto="1"/>
        </left>
        <right style="hair">
          <color auto="1"/>
        </right>
        <top style="hair">
          <color auto="1"/>
        </top>
        <bottom style="hair">
          <color auto="1"/>
        </bottom>
      </border>
    </dxf>
    <dxf>
      <border>
        <bottom style="hair">
          <color auto="1"/>
        </bottom>
      </border>
    </dxf>
    <dxf>
      <font>
        <b/>
        <strike val="0"/>
        <outline val="0"/>
        <shadow val="0"/>
        <u val="none"/>
        <vertAlign val="baseline"/>
        <sz val="10"/>
        <name val="Aptos Narrow"/>
        <family val="2"/>
        <scheme val="minor"/>
      </font>
      <fill>
        <patternFill patternType="solid">
          <fgColor indexed="64"/>
          <bgColor theme="4" tint="0.79998168889431442"/>
        </patternFill>
      </fill>
      <alignment vertical="center" textRotation="0" wrapText="1" justifyLastLine="0" shrinkToFit="0" readingOrder="0"/>
      <border diagonalUp="0" diagonalDown="0" outline="0">
        <left style="hair">
          <color auto="1"/>
        </left>
        <right style="hair">
          <color auto="1"/>
        </right>
        <top/>
        <bottom/>
      </border>
    </dxf>
    <dxf>
      <fill>
        <patternFill>
          <bgColor theme="7" tint="-0.24994659260841701"/>
        </patternFill>
      </fill>
    </dxf>
    <dxf>
      <fill>
        <patternFill>
          <bgColor theme="7" tint="-0.24994659260841701"/>
        </patternFill>
      </fill>
    </dxf>
  </dxfs>
  <tableStyles count="3" defaultTableStyle="TableStyleMedium2" defaultPivotStyle="PivotStyleLight16">
    <tableStyle name="Invisible" pivot="0" table="0" count="0" xr9:uid="{2CB29764-094B-4AB4-9C91-444F3F50548D}"/>
    <tableStyle name="Slicer Style 1" pivot="0" table="0" count="1" xr9:uid="{4697777E-5F2D-40A0-A525-F7A2678789D8}">
      <tableStyleElement type="wholeTable" dxfId="45"/>
    </tableStyle>
    <tableStyle name="Slicer Style 2" pivot="0" table="0" count="1" xr9:uid="{4ACE6256-4AB5-48D5-92C5-AB7337602704}">
      <tableStyleElement type="headerRow" dxfId="44"/>
    </tableStyle>
  </tableStyles>
  <colors>
    <mruColors>
      <color rgb="FFEC405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455042603831752E-2"/>
          <c:y val="8.2183915484108555E-2"/>
          <c:w val="0.85780369005326373"/>
          <c:h val="0.6488999591727721"/>
        </c:manualLayout>
      </c:layout>
      <c:barChart>
        <c:barDir val="col"/>
        <c:grouping val="stacked"/>
        <c:varyColors val="0"/>
        <c:ser>
          <c:idx val="1"/>
          <c:order val="1"/>
          <c:tx>
            <c:strRef>
              <c:f>pivot!$F$15</c:f>
              <c:strCache>
                <c:ptCount val="1"/>
                <c:pt idx="0">
                  <c:v>Attrition</c:v>
                </c:pt>
              </c:strCache>
            </c:strRef>
          </c:tx>
          <c:spPr>
            <a:solidFill>
              <a:srgbClr val="EC405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pivot!$E$16:$E$21</c:f>
              <c:numCache>
                <c:formatCode>General</c:formatCode>
                <c:ptCount val="6"/>
                <c:pt idx="0">
                  <c:v>2020</c:v>
                </c:pt>
                <c:pt idx="1">
                  <c:v>2021</c:v>
                </c:pt>
                <c:pt idx="2">
                  <c:v>2022</c:v>
                </c:pt>
                <c:pt idx="3">
                  <c:v>2023</c:v>
                </c:pt>
                <c:pt idx="4">
                  <c:v>2024</c:v>
                </c:pt>
                <c:pt idx="5">
                  <c:v>2025</c:v>
                </c:pt>
              </c:numCache>
            </c:numRef>
          </c:cat>
          <c:val>
            <c:numRef>
              <c:f>pivot!$F$16:$F$21</c:f>
              <c:numCache>
                <c:formatCode>General</c:formatCode>
                <c:ptCount val="6"/>
                <c:pt idx="0">
                  <c:v>20</c:v>
                </c:pt>
                <c:pt idx="1">
                  <c:v>12</c:v>
                </c:pt>
                <c:pt idx="2">
                  <c:v>10</c:v>
                </c:pt>
                <c:pt idx="3">
                  <c:v>4</c:v>
                </c:pt>
                <c:pt idx="4">
                  <c:v>0</c:v>
                </c:pt>
                <c:pt idx="5">
                  <c:v>1</c:v>
                </c:pt>
              </c:numCache>
            </c:numRef>
          </c:val>
          <c:extLst>
            <c:ext xmlns:c16="http://schemas.microsoft.com/office/drawing/2014/chart" uri="{C3380CC4-5D6E-409C-BE32-E72D297353CC}">
              <c16:uniqueId val="{00000000-7F4D-4A15-8C65-7E39C296E222}"/>
            </c:ext>
          </c:extLst>
        </c:ser>
        <c:ser>
          <c:idx val="2"/>
          <c:order val="2"/>
          <c:tx>
            <c:strRef>
              <c:f>pivot!$G$15</c:f>
              <c:strCache>
                <c:ptCount val="1"/>
                <c:pt idx="0">
                  <c:v>On-Board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pivot!$E$16:$E$21</c:f>
              <c:numCache>
                <c:formatCode>General</c:formatCode>
                <c:ptCount val="6"/>
                <c:pt idx="0">
                  <c:v>2020</c:v>
                </c:pt>
                <c:pt idx="1">
                  <c:v>2021</c:v>
                </c:pt>
                <c:pt idx="2">
                  <c:v>2022</c:v>
                </c:pt>
                <c:pt idx="3">
                  <c:v>2023</c:v>
                </c:pt>
                <c:pt idx="4">
                  <c:v>2024</c:v>
                </c:pt>
                <c:pt idx="5">
                  <c:v>2025</c:v>
                </c:pt>
              </c:numCache>
            </c:numRef>
          </c:cat>
          <c:val>
            <c:numRef>
              <c:f>pivot!$G$16:$G$21</c:f>
              <c:numCache>
                <c:formatCode>General</c:formatCode>
                <c:ptCount val="6"/>
                <c:pt idx="0">
                  <c:v>23</c:v>
                </c:pt>
                <c:pt idx="1">
                  <c:v>12</c:v>
                </c:pt>
                <c:pt idx="2">
                  <c:v>19</c:v>
                </c:pt>
                <c:pt idx="3">
                  <c:v>30</c:v>
                </c:pt>
                <c:pt idx="4">
                  <c:v>25</c:v>
                </c:pt>
                <c:pt idx="5">
                  <c:v>9</c:v>
                </c:pt>
              </c:numCache>
            </c:numRef>
          </c:val>
          <c:extLst>
            <c:ext xmlns:c16="http://schemas.microsoft.com/office/drawing/2014/chart" uri="{C3380CC4-5D6E-409C-BE32-E72D297353CC}">
              <c16:uniqueId val="{00000001-7F4D-4A15-8C65-7E39C296E222}"/>
            </c:ext>
          </c:extLst>
        </c:ser>
        <c:ser>
          <c:idx val="3"/>
          <c:order val="3"/>
          <c:tx>
            <c:strRef>
              <c:f>pivot!$H$15</c:f>
              <c:strCache>
                <c:ptCount val="1"/>
                <c:pt idx="0">
                  <c:v>Transfer</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pivot!$E$16:$E$21</c:f>
              <c:numCache>
                <c:formatCode>General</c:formatCode>
                <c:ptCount val="6"/>
                <c:pt idx="0">
                  <c:v>2020</c:v>
                </c:pt>
                <c:pt idx="1">
                  <c:v>2021</c:v>
                </c:pt>
                <c:pt idx="2">
                  <c:v>2022</c:v>
                </c:pt>
                <c:pt idx="3">
                  <c:v>2023</c:v>
                </c:pt>
                <c:pt idx="4">
                  <c:v>2024</c:v>
                </c:pt>
                <c:pt idx="5">
                  <c:v>2025</c:v>
                </c:pt>
              </c:numCache>
            </c:numRef>
          </c:cat>
          <c:val>
            <c:numRef>
              <c:f>pivot!$H$16:$H$21</c:f>
              <c:numCache>
                <c:formatCode>General</c:formatCode>
                <c:ptCount val="6"/>
                <c:pt idx="0">
                  <c:v>0</c:v>
                </c:pt>
                <c:pt idx="1">
                  <c:v>1</c:v>
                </c:pt>
                <c:pt idx="2">
                  <c:v>4</c:v>
                </c:pt>
                <c:pt idx="3">
                  <c:v>1</c:v>
                </c:pt>
                <c:pt idx="4">
                  <c:v>0</c:v>
                </c:pt>
                <c:pt idx="5">
                  <c:v>0</c:v>
                </c:pt>
              </c:numCache>
            </c:numRef>
          </c:val>
          <c:extLst>
            <c:ext xmlns:c16="http://schemas.microsoft.com/office/drawing/2014/chart" uri="{C3380CC4-5D6E-409C-BE32-E72D297353CC}">
              <c16:uniqueId val="{00000002-7F4D-4A15-8C65-7E39C296E222}"/>
            </c:ext>
          </c:extLst>
        </c:ser>
        <c:dLbls>
          <c:showLegendKey val="0"/>
          <c:showVal val="1"/>
          <c:showCatName val="0"/>
          <c:showSerName val="0"/>
          <c:showPercent val="0"/>
          <c:showBubbleSize val="0"/>
        </c:dLbls>
        <c:gapWidth val="65"/>
        <c:overlap val="100"/>
        <c:axId val="2035158703"/>
        <c:axId val="2035161583"/>
        <c:extLst>
          <c:ext xmlns:c15="http://schemas.microsoft.com/office/drawing/2012/chart" uri="{02D57815-91ED-43cb-92C2-25804820EDAC}">
            <c15:filteredBarSeries>
              <c15:ser>
                <c:idx val="0"/>
                <c:order val="0"/>
                <c:tx>
                  <c:strRef>
                    <c:extLst>
                      <c:ext uri="{02D57815-91ED-43cb-92C2-25804820EDAC}">
                        <c15:formulaRef>
                          <c15:sqref>pivot!$E$15</c15:sqref>
                        </c15:formulaRef>
                      </c:ext>
                    </c:extLst>
                    <c:strCache>
                      <c:ptCount val="1"/>
                      <c:pt idx="0">
                        <c:v>Year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pivot!$E$16:$E$21</c15:sqref>
                        </c15:formulaRef>
                      </c:ext>
                    </c:extLst>
                    <c:numCache>
                      <c:formatCode>General</c:formatCode>
                      <c:ptCount val="6"/>
                      <c:pt idx="0">
                        <c:v>2020</c:v>
                      </c:pt>
                      <c:pt idx="1">
                        <c:v>2021</c:v>
                      </c:pt>
                      <c:pt idx="2">
                        <c:v>2022</c:v>
                      </c:pt>
                      <c:pt idx="3">
                        <c:v>2023</c:v>
                      </c:pt>
                      <c:pt idx="4">
                        <c:v>2024</c:v>
                      </c:pt>
                      <c:pt idx="5">
                        <c:v>2025</c:v>
                      </c:pt>
                    </c:numCache>
                  </c:numRef>
                </c:cat>
                <c:val>
                  <c:numRef>
                    <c:extLst>
                      <c:ext uri="{02D57815-91ED-43cb-92C2-25804820EDAC}">
                        <c15:formulaRef>
                          <c15:sqref>pivot!$E$16:$E$21</c15:sqref>
                        </c15:formulaRef>
                      </c:ext>
                    </c:extLst>
                    <c:numCache>
                      <c:formatCode>General</c:formatCode>
                      <c:ptCount val="6"/>
                      <c:pt idx="0">
                        <c:v>2020</c:v>
                      </c:pt>
                      <c:pt idx="1">
                        <c:v>2021</c:v>
                      </c:pt>
                      <c:pt idx="2">
                        <c:v>2022</c:v>
                      </c:pt>
                      <c:pt idx="3">
                        <c:v>2023</c:v>
                      </c:pt>
                      <c:pt idx="4">
                        <c:v>2024</c:v>
                      </c:pt>
                      <c:pt idx="5">
                        <c:v>2025</c:v>
                      </c:pt>
                    </c:numCache>
                  </c:numRef>
                </c:val>
                <c:extLst>
                  <c:ext xmlns:c16="http://schemas.microsoft.com/office/drawing/2014/chart" uri="{C3380CC4-5D6E-409C-BE32-E72D297353CC}">
                    <c16:uniqueId val="{00000004-7F4D-4A15-8C65-7E39C296E222}"/>
                  </c:ext>
                </c:extLst>
              </c15:ser>
            </c15:filteredBarSeries>
          </c:ext>
        </c:extLst>
      </c:barChart>
      <c:lineChart>
        <c:grouping val="stacked"/>
        <c:varyColors val="0"/>
        <c:ser>
          <c:idx val="4"/>
          <c:order val="4"/>
          <c:tx>
            <c:strRef>
              <c:f>pivot!$I$15</c:f>
              <c:strCache>
                <c:ptCount val="1"/>
                <c:pt idx="0">
                  <c:v>HC Growth</c:v>
                </c:pt>
              </c:strCache>
            </c:strRef>
          </c:tx>
          <c:spPr>
            <a:ln w="28575" cap="rnd">
              <a:solidFill>
                <a:schemeClr val="accent5"/>
              </a:solidFill>
              <a:round/>
            </a:ln>
            <a:effectLst/>
          </c:spPr>
          <c:marker>
            <c:symbol val="none"/>
          </c:marker>
          <c:dLbls>
            <c:spPr>
              <a:solidFill>
                <a:srgbClr val="00B0F0"/>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pivot!$I$16:$I$21</c:f>
              <c:numCache>
                <c:formatCode>General</c:formatCode>
                <c:ptCount val="6"/>
                <c:pt idx="0">
                  <c:v>23</c:v>
                </c:pt>
                <c:pt idx="1">
                  <c:v>35</c:v>
                </c:pt>
                <c:pt idx="2">
                  <c:v>54</c:v>
                </c:pt>
                <c:pt idx="3">
                  <c:v>84</c:v>
                </c:pt>
                <c:pt idx="4">
                  <c:v>109</c:v>
                </c:pt>
                <c:pt idx="5">
                  <c:v>118</c:v>
                </c:pt>
              </c:numCache>
            </c:numRef>
          </c:val>
          <c:smooth val="0"/>
          <c:extLst>
            <c:ext xmlns:c16="http://schemas.microsoft.com/office/drawing/2014/chart" uri="{C3380CC4-5D6E-409C-BE32-E72D297353CC}">
              <c16:uniqueId val="{00000003-7F4D-4A15-8C65-7E39C296E222}"/>
            </c:ext>
          </c:extLst>
        </c:ser>
        <c:dLbls>
          <c:showLegendKey val="0"/>
          <c:showVal val="1"/>
          <c:showCatName val="0"/>
          <c:showSerName val="0"/>
          <c:showPercent val="0"/>
          <c:showBubbleSize val="0"/>
        </c:dLbls>
        <c:marker val="1"/>
        <c:smooth val="0"/>
        <c:axId val="1945411135"/>
        <c:axId val="1945410655"/>
      </c:lineChart>
      <c:catAx>
        <c:axId val="203515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61583"/>
        <c:crosses val="autoZero"/>
        <c:auto val="1"/>
        <c:lblAlgn val="ctr"/>
        <c:lblOffset val="100"/>
        <c:noMultiLvlLbl val="0"/>
      </c:catAx>
      <c:valAx>
        <c:axId val="203516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158703"/>
        <c:crosses val="autoZero"/>
        <c:crossBetween val="between"/>
      </c:valAx>
      <c:valAx>
        <c:axId val="19454106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411135"/>
        <c:crosses val="max"/>
        <c:crossBetween val="between"/>
      </c:valAx>
      <c:catAx>
        <c:axId val="1945411135"/>
        <c:scaling>
          <c:orientation val="minMax"/>
        </c:scaling>
        <c:delete val="1"/>
        <c:axPos val="b"/>
        <c:majorTickMark val="out"/>
        <c:minorTickMark val="none"/>
        <c:tickLblPos val="nextTo"/>
        <c:crossAx val="19454106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75166705495826E-2"/>
          <c:y val="0.16287260276597085"/>
          <c:w val="0.53622804016708248"/>
          <c:h val="0.87421421494699192"/>
        </c:manualLayout>
      </c:layout>
      <c:doughnutChart>
        <c:varyColors val="1"/>
        <c:ser>
          <c:idx val="1"/>
          <c:order val="0"/>
          <c:tx>
            <c:strRef>
              <c:f>pivot!$M$15</c:f>
              <c:strCache>
                <c:ptCount val="1"/>
                <c:pt idx="0">
                  <c:v>HC %</c:v>
                </c:pt>
              </c:strCache>
            </c:strRef>
          </c:tx>
          <c:spPr>
            <a:solidFill>
              <a:srgbClr val="00B0F0"/>
            </a:solidFill>
          </c:spPr>
          <c:dPt>
            <c:idx val="0"/>
            <c:bubble3D val="0"/>
            <c:spPr>
              <a:solidFill>
                <a:srgbClr val="EC4050"/>
              </a:solidFill>
              <a:ln w="19050">
                <a:solidFill>
                  <a:schemeClr val="lt1"/>
                </a:solidFill>
              </a:ln>
              <a:effectLst/>
            </c:spPr>
            <c:extLst>
              <c:ext xmlns:c16="http://schemas.microsoft.com/office/drawing/2014/chart" uri="{C3380CC4-5D6E-409C-BE32-E72D297353CC}">
                <c16:uniqueId val="{00000001-C8C3-4AE9-B235-33279E50CFBA}"/>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8C3-4AE9-B235-33279E50CFBA}"/>
              </c:ext>
            </c:extLst>
          </c:dPt>
          <c:dLbls>
            <c:dLbl>
              <c:idx val="0"/>
              <c:layout>
                <c:manualLayout>
                  <c:x val="0.1582545590628171"/>
                  <c:y val="0.48477730732492347"/>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C3-4AE9-B235-33279E50CFBA}"/>
                </c:ext>
              </c:extLst>
            </c:dLbl>
            <c:dLbl>
              <c:idx val="1"/>
              <c:layout>
                <c:manualLayout>
                  <c:x val="-7.3464153961582984E-2"/>
                  <c:y val="-0.57098057032753191"/>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C3-4AE9-B235-33279E50CFBA}"/>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pivot!$K$16:$K$17</c:f>
              <c:strCache>
                <c:ptCount val="2"/>
                <c:pt idx="0">
                  <c:v>Female</c:v>
                </c:pt>
                <c:pt idx="1">
                  <c:v>Male</c:v>
                </c:pt>
              </c:strCache>
            </c:strRef>
          </c:cat>
          <c:val>
            <c:numRef>
              <c:f>pivot!$M$16:$M$17</c:f>
              <c:numCache>
                <c:formatCode>0%</c:formatCode>
                <c:ptCount val="2"/>
                <c:pt idx="0">
                  <c:v>0.38135593220338981</c:v>
                </c:pt>
                <c:pt idx="1">
                  <c:v>0.61864406779661019</c:v>
                </c:pt>
              </c:numCache>
            </c:numRef>
          </c:val>
          <c:extLst>
            <c:ext xmlns:c16="http://schemas.microsoft.com/office/drawing/2014/chart" uri="{C3380CC4-5D6E-409C-BE32-E72D297353CC}">
              <c16:uniqueId val="{00000004-C8C3-4AE9-B235-33279E50CFB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outerShdw blurRad="50800" dist="38100" dir="2700000" algn="tl" rotWithShape="0">
            <a:prstClr val="black">
              <a:alpha val="40000"/>
            </a:prstClr>
          </a:outerShdw>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861302682750927E-3"/>
          <c:y val="0.1093458145091277"/>
          <c:w val="0.86334423447873743"/>
          <c:h val="0.87064524075451488"/>
        </c:manualLayout>
      </c:layout>
      <c:bar3DChart>
        <c:barDir val="col"/>
        <c:grouping val="stacked"/>
        <c:varyColors val="0"/>
        <c:ser>
          <c:idx val="0"/>
          <c:order val="0"/>
          <c:tx>
            <c:strRef>
              <c:f>pivot!$O$16</c:f>
              <c:strCache>
                <c:ptCount val="1"/>
                <c:pt idx="0">
                  <c:v>Contract</c:v>
                </c:pt>
              </c:strCache>
            </c:strRef>
          </c:tx>
          <c:spPr>
            <a:solidFill>
              <a:srgbClr val="FFFF00"/>
            </a:solidFill>
            <a:ln>
              <a:noFill/>
            </a:ln>
            <a:effectLst/>
            <a:sp3d/>
          </c:spPr>
          <c:invertIfNegative val="0"/>
          <c:dLbls>
            <c:dLbl>
              <c:idx val="0"/>
              <c:layout>
                <c:manualLayout>
                  <c:x val="-0.30858172887471036"/>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28069082967283027"/>
                      <c:h val="0.20579772565822224"/>
                    </c:manualLayout>
                  </c15:layout>
                </c:ext>
                <c:ext xmlns:c16="http://schemas.microsoft.com/office/drawing/2014/chart" uri="{C3380CC4-5D6E-409C-BE32-E72D297353CC}">
                  <c16:uniqueId val="{00000004-DC8C-4F84-A446-8CF25C60C4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pivot!$P$15:$Q$15</c15:sqref>
                  </c15:fullRef>
                </c:ext>
              </c:extLst>
              <c:f>pivot!$Q$15</c:f>
              <c:strCache>
                <c:ptCount val="1"/>
                <c:pt idx="0">
                  <c:v>HC%</c:v>
                </c:pt>
              </c:strCache>
            </c:strRef>
          </c:cat>
          <c:val>
            <c:numRef>
              <c:extLst>
                <c:ext xmlns:c15="http://schemas.microsoft.com/office/drawing/2012/chart" uri="{02D57815-91ED-43cb-92C2-25804820EDAC}">
                  <c15:fullRef>
                    <c15:sqref>pivot!$P$16:$Q$16</c15:sqref>
                  </c15:fullRef>
                </c:ext>
              </c:extLst>
              <c:f>pivot!$Q$16</c:f>
              <c:numCache>
                <c:formatCode>0%</c:formatCode>
                <c:ptCount val="1"/>
                <c:pt idx="0">
                  <c:v>0.11016949152542373</c:v>
                </c:pt>
              </c:numCache>
            </c:numRef>
          </c:val>
          <c:extLst>
            <c:ext xmlns:c16="http://schemas.microsoft.com/office/drawing/2014/chart" uri="{C3380CC4-5D6E-409C-BE32-E72D297353CC}">
              <c16:uniqueId val="{00000000-DC8C-4F84-A446-8CF25C60C470}"/>
            </c:ext>
          </c:extLst>
        </c:ser>
        <c:ser>
          <c:idx val="1"/>
          <c:order val="1"/>
          <c:tx>
            <c:strRef>
              <c:f>pivot!$O$17</c:f>
              <c:strCache>
                <c:ptCount val="1"/>
                <c:pt idx="0">
                  <c:v>Trainees</c:v>
                </c:pt>
              </c:strCache>
            </c:strRef>
          </c:tx>
          <c:spPr>
            <a:solidFill>
              <a:srgbClr val="FF0000"/>
            </a:solidFill>
            <a:ln>
              <a:noFill/>
            </a:ln>
            <a:effectLst/>
            <a:sp3d/>
          </c:spPr>
          <c:invertIfNegative val="0"/>
          <c:dLbls>
            <c:dLbl>
              <c:idx val="0"/>
              <c:layout>
                <c:manualLayout>
                  <c:x val="-0.28880083883434177"/>
                  <c:y val="-2.8415288320085982E-2"/>
                </c:manualLayout>
              </c:layout>
              <c:showLegendKey val="0"/>
              <c:showVal val="1"/>
              <c:showCatName val="0"/>
              <c:showSerName val="1"/>
              <c:showPercent val="0"/>
              <c:showBubbleSize val="0"/>
              <c:extLst>
                <c:ext xmlns:c15="http://schemas.microsoft.com/office/drawing/2012/chart" uri="{CE6537A1-D6FC-4f65-9D91-7224C49458BB}">
                  <c15:layout>
                    <c:manualLayout>
                      <c:w val="0.2442148684383906"/>
                      <c:h val="0.17738243733813633"/>
                    </c:manualLayout>
                  </c15:layout>
                </c:ext>
                <c:ext xmlns:c16="http://schemas.microsoft.com/office/drawing/2014/chart" uri="{C3380CC4-5D6E-409C-BE32-E72D297353CC}">
                  <c16:uniqueId val="{00000005-DC8C-4F84-A446-8CF25C60C4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pivot!$P$15:$Q$15</c15:sqref>
                  </c15:fullRef>
                </c:ext>
              </c:extLst>
              <c:f>pivot!$Q$15</c:f>
              <c:strCache>
                <c:ptCount val="1"/>
                <c:pt idx="0">
                  <c:v>HC%</c:v>
                </c:pt>
              </c:strCache>
            </c:strRef>
          </c:cat>
          <c:val>
            <c:numRef>
              <c:extLst>
                <c:ext xmlns:c15="http://schemas.microsoft.com/office/drawing/2012/chart" uri="{02D57815-91ED-43cb-92C2-25804820EDAC}">
                  <c15:fullRef>
                    <c15:sqref>pivot!$P$17:$Q$17</c15:sqref>
                  </c15:fullRef>
                </c:ext>
              </c:extLst>
              <c:f>pivot!$Q$17</c:f>
              <c:numCache>
                <c:formatCode>0%</c:formatCode>
                <c:ptCount val="1"/>
                <c:pt idx="0">
                  <c:v>0.34745762711864409</c:v>
                </c:pt>
              </c:numCache>
            </c:numRef>
          </c:val>
          <c:extLst>
            <c:ext xmlns:c16="http://schemas.microsoft.com/office/drawing/2014/chart" uri="{C3380CC4-5D6E-409C-BE32-E72D297353CC}">
              <c16:uniqueId val="{00000001-DC8C-4F84-A446-8CF25C60C470}"/>
            </c:ext>
          </c:extLst>
        </c:ser>
        <c:ser>
          <c:idx val="2"/>
          <c:order val="2"/>
          <c:tx>
            <c:strRef>
              <c:f>pivot!$O$18</c:f>
              <c:strCache>
                <c:ptCount val="1"/>
                <c:pt idx="0">
                  <c:v>Professional</c:v>
                </c:pt>
              </c:strCache>
            </c:strRef>
          </c:tx>
          <c:spPr>
            <a:solidFill>
              <a:srgbClr val="00B0F0"/>
            </a:solidFill>
            <a:ln>
              <a:noFill/>
            </a:ln>
            <a:effectLst/>
            <a:sp3d/>
          </c:spPr>
          <c:invertIfNegative val="0"/>
          <c:dLbls>
            <c:dLbl>
              <c:idx val="0"/>
              <c:layout>
                <c:manualLayout>
                  <c:x val="-0.32045041865397123"/>
                  <c:y val="2.1311466240064372E-2"/>
                </c:manualLayout>
              </c:layout>
              <c:showLegendKey val="0"/>
              <c:showVal val="1"/>
              <c:showCatName val="0"/>
              <c:showSerName val="1"/>
              <c:showPercent val="0"/>
              <c:showBubbleSize val="0"/>
              <c:extLst>
                <c:ext xmlns:c15="http://schemas.microsoft.com/office/drawing/2012/chart" uri="{CE6537A1-D6FC-4f65-9D91-7224C49458BB}">
                  <c15:layout>
                    <c:manualLayout>
                      <c:w val="0.29447826578600694"/>
                      <c:h val="0.17738243733813633"/>
                    </c:manualLayout>
                  </c15:layout>
                </c:ext>
                <c:ext xmlns:c16="http://schemas.microsoft.com/office/drawing/2014/chart" uri="{C3380CC4-5D6E-409C-BE32-E72D297353CC}">
                  <c16:uniqueId val="{00000006-DC8C-4F84-A446-8CF25C60C4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pivot!$P$15:$Q$15</c15:sqref>
                  </c15:fullRef>
                </c:ext>
              </c:extLst>
              <c:f>pivot!$Q$15</c:f>
              <c:strCache>
                <c:ptCount val="1"/>
                <c:pt idx="0">
                  <c:v>HC%</c:v>
                </c:pt>
              </c:strCache>
            </c:strRef>
          </c:cat>
          <c:val>
            <c:numRef>
              <c:extLst>
                <c:ext xmlns:c15="http://schemas.microsoft.com/office/drawing/2012/chart" uri="{02D57815-91ED-43cb-92C2-25804820EDAC}">
                  <c15:fullRef>
                    <c15:sqref>pivot!$P$18:$Q$18</c15:sqref>
                  </c15:fullRef>
                </c:ext>
              </c:extLst>
              <c:f>pivot!$Q$18</c:f>
              <c:numCache>
                <c:formatCode>0%</c:formatCode>
                <c:ptCount val="1"/>
                <c:pt idx="0">
                  <c:v>0.36440677966101692</c:v>
                </c:pt>
              </c:numCache>
            </c:numRef>
          </c:val>
          <c:extLst>
            <c:ext xmlns:c16="http://schemas.microsoft.com/office/drawing/2014/chart" uri="{C3380CC4-5D6E-409C-BE32-E72D297353CC}">
              <c16:uniqueId val="{00000002-DC8C-4F84-A446-8CF25C60C470}"/>
            </c:ext>
          </c:extLst>
        </c:ser>
        <c:ser>
          <c:idx val="3"/>
          <c:order val="3"/>
          <c:tx>
            <c:strRef>
              <c:f>pivot!$O$19</c:f>
              <c:strCache>
                <c:ptCount val="1"/>
                <c:pt idx="0">
                  <c:v>Management</c:v>
                </c:pt>
              </c:strCache>
            </c:strRef>
          </c:tx>
          <c:spPr>
            <a:solidFill>
              <a:srgbClr val="92D050"/>
            </a:solidFill>
            <a:ln>
              <a:noFill/>
            </a:ln>
            <a:effectLst/>
            <a:sp3d/>
          </c:spPr>
          <c:invertIfNegative val="0"/>
          <c:dLbls>
            <c:dLbl>
              <c:idx val="0"/>
              <c:layout>
                <c:manualLayout>
                  <c:x val="-0.28880099458938141"/>
                  <c:y val="-2.1311466240064438E-2"/>
                </c:manualLayout>
              </c:layout>
              <c:showLegendKey val="0"/>
              <c:showVal val="1"/>
              <c:showCatName val="0"/>
              <c:showSerName val="1"/>
              <c:showPercent val="0"/>
              <c:showBubbleSize val="0"/>
              <c:extLst>
                <c:ext xmlns:c15="http://schemas.microsoft.com/office/drawing/2012/chart" uri="{CE6537A1-D6FC-4f65-9D91-7224C49458BB}">
                  <c15:layout>
                    <c:manualLayout>
                      <c:w val="0.3213802762409082"/>
                      <c:h val="0.17738243733813633"/>
                    </c:manualLayout>
                  </c15:layout>
                </c:ext>
                <c:ext xmlns:c16="http://schemas.microsoft.com/office/drawing/2014/chart" uri="{C3380CC4-5D6E-409C-BE32-E72D297353CC}">
                  <c16:uniqueId val="{00000007-DC8C-4F84-A446-8CF25C60C4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pivot!$P$15:$Q$15</c15:sqref>
                  </c15:fullRef>
                </c:ext>
              </c:extLst>
              <c:f>pivot!$Q$15</c:f>
              <c:strCache>
                <c:ptCount val="1"/>
                <c:pt idx="0">
                  <c:v>HC%</c:v>
                </c:pt>
              </c:strCache>
            </c:strRef>
          </c:cat>
          <c:val>
            <c:numRef>
              <c:extLst>
                <c:ext xmlns:c15="http://schemas.microsoft.com/office/drawing/2012/chart" uri="{02D57815-91ED-43cb-92C2-25804820EDAC}">
                  <c15:fullRef>
                    <c15:sqref>pivot!$P$19:$Q$19</c15:sqref>
                  </c15:fullRef>
                </c:ext>
              </c:extLst>
              <c:f>pivot!$Q$19</c:f>
              <c:numCache>
                <c:formatCode>0%</c:formatCode>
                <c:ptCount val="1"/>
                <c:pt idx="0">
                  <c:v>0.17796610169491525</c:v>
                </c:pt>
              </c:numCache>
            </c:numRef>
          </c:val>
          <c:extLst>
            <c:ext xmlns:c16="http://schemas.microsoft.com/office/drawing/2014/chart" uri="{C3380CC4-5D6E-409C-BE32-E72D297353CC}">
              <c16:uniqueId val="{00000003-DC8C-4F84-A446-8CF25C60C470}"/>
            </c:ext>
          </c:extLst>
        </c:ser>
        <c:dLbls>
          <c:showLegendKey val="0"/>
          <c:showVal val="1"/>
          <c:showCatName val="0"/>
          <c:showSerName val="0"/>
          <c:showPercent val="0"/>
          <c:showBubbleSize val="0"/>
        </c:dLbls>
        <c:gapWidth val="150"/>
        <c:shape val="pyramid"/>
        <c:axId val="1386062975"/>
        <c:axId val="1386056255"/>
        <c:axId val="0"/>
      </c:bar3DChart>
      <c:catAx>
        <c:axId val="1386062975"/>
        <c:scaling>
          <c:orientation val="minMax"/>
        </c:scaling>
        <c:delete val="1"/>
        <c:axPos val="b"/>
        <c:numFmt formatCode="General" sourceLinked="1"/>
        <c:majorTickMark val="out"/>
        <c:minorTickMark val="none"/>
        <c:tickLblPos val="nextTo"/>
        <c:crossAx val="1386056255"/>
        <c:crosses val="autoZero"/>
        <c:auto val="1"/>
        <c:lblAlgn val="ctr"/>
        <c:lblOffset val="100"/>
        <c:noMultiLvlLbl val="0"/>
      </c:catAx>
      <c:valAx>
        <c:axId val="1386056255"/>
        <c:scaling>
          <c:orientation val="minMax"/>
        </c:scaling>
        <c:delete val="1"/>
        <c:axPos val="l"/>
        <c:numFmt formatCode="General" sourceLinked="1"/>
        <c:majorTickMark val="out"/>
        <c:minorTickMark val="none"/>
        <c:tickLblPos val="nextTo"/>
        <c:crossAx val="1386062975"/>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970175784534906E-2"/>
          <c:y val="0.17467122858978751"/>
          <c:w val="0.57339265312277088"/>
          <c:h val="0.75349562995645925"/>
        </c:manualLayout>
      </c:layout>
      <c:doughnutChart>
        <c:varyColors val="1"/>
        <c:ser>
          <c:idx val="1"/>
          <c:order val="1"/>
          <c:tx>
            <c:strRef>
              <c:f>pivot!$U$15</c:f>
              <c:strCache>
                <c:ptCount val="1"/>
                <c:pt idx="0">
                  <c:v>HC %</c:v>
                </c:pt>
              </c:strCache>
            </c:strRef>
          </c:tx>
          <c:spPr>
            <a:ln>
              <a:noFill/>
            </a:ln>
          </c:spPr>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1-E7BC-4DD8-8D35-26DFAC71C2ED}"/>
              </c:ext>
            </c:extLst>
          </c:dPt>
          <c:dPt>
            <c:idx val="1"/>
            <c:bubble3D val="0"/>
            <c:spPr>
              <a:solidFill>
                <a:srgbClr val="FF0000"/>
              </a:solidFill>
              <a:ln w="19050">
                <a:noFill/>
              </a:ln>
              <a:effectLst/>
            </c:spPr>
            <c:extLst>
              <c:ext xmlns:c16="http://schemas.microsoft.com/office/drawing/2014/chart" uri="{C3380CC4-5D6E-409C-BE32-E72D297353CC}">
                <c16:uniqueId val="{00000003-E7BC-4DD8-8D35-26DFAC71C2ED}"/>
              </c:ext>
            </c:extLst>
          </c:dPt>
          <c:dPt>
            <c:idx val="2"/>
            <c:bubble3D val="0"/>
            <c:spPr>
              <a:solidFill>
                <a:srgbClr val="00B0F0"/>
              </a:solidFill>
              <a:ln w="19050">
                <a:noFill/>
              </a:ln>
              <a:effectLst/>
            </c:spPr>
            <c:extLst>
              <c:ext xmlns:c16="http://schemas.microsoft.com/office/drawing/2014/chart" uri="{C3380CC4-5D6E-409C-BE32-E72D297353CC}">
                <c16:uniqueId val="{00000005-E7BC-4DD8-8D35-26DFAC71C2ED}"/>
              </c:ext>
            </c:extLst>
          </c:dPt>
          <c:dPt>
            <c:idx val="3"/>
            <c:bubble3D val="0"/>
            <c:spPr>
              <a:solidFill>
                <a:srgbClr val="FFFF00"/>
              </a:solidFill>
              <a:ln w="19050">
                <a:noFill/>
              </a:ln>
              <a:effectLst/>
            </c:spPr>
            <c:extLst>
              <c:ext xmlns:c16="http://schemas.microsoft.com/office/drawing/2014/chart" uri="{C3380CC4-5D6E-409C-BE32-E72D297353CC}">
                <c16:uniqueId val="{00000007-E7BC-4DD8-8D35-26DFAC71C2ED}"/>
              </c:ext>
            </c:extLst>
          </c:dPt>
          <c:dPt>
            <c:idx val="4"/>
            <c:bubble3D val="0"/>
            <c:spPr>
              <a:solidFill>
                <a:schemeClr val="accent5">
                  <a:lumMod val="60000"/>
                  <a:lumOff val="40000"/>
                </a:schemeClr>
              </a:solidFill>
              <a:ln w="19050">
                <a:noFill/>
              </a:ln>
              <a:effectLst/>
            </c:spPr>
            <c:extLst>
              <c:ext xmlns:c16="http://schemas.microsoft.com/office/drawing/2014/chart" uri="{C3380CC4-5D6E-409C-BE32-E72D297353CC}">
                <c16:uniqueId val="{00000009-E7BC-4DD8-8D35-26DFAC71C2ED}"/>
              </c:ext>
            </c:extLst>
          </c:dPt>
          <c:dPt>
            <c:idx val="5"/>
            <c:bubble3D val="0"/>
            <c:spPr>
              <a:solidFill>
                <a:srgbClr val="92D050"/>
              </a:solidFill>
              <a:ln w="19050">
                <a:noFill/>
              </a:ln>
              <a:effectLst/>
            </c:spPr>
            <c:extLst>
              <c:ext xmlns:c16="http://schemas.microsoft.com/office/drawing/2014/chart" uri="{C3380CC4-5D6E-409C-BE32-E72D297353CC}">
                <c16:uniqueId val="{0000000B-E7BC-4DD8-8D35-26DFAC71C2ED}"/>
              </c:ext>
            </c:extLst>
          </c:dPt>
          <c:dPt>
            <c:idx val="6"/>
            <c:bubble3D val="0"/>
            <c:spPr>
              <a:solidFill>
                <a:schemeClr val="bg1">
                  <a:lumMod val="75000"/>
                </a:schemeClr>
              </a:solidFill>
              <a:ln w="19050">
                <a:noFill/>
              </a:ln>
              <a:effectLst/>
            </c:spPr>
            <c:extLst>
              <c:ext xmlns:c16="http://schemas.microsoft.com/office/drawing/2014/chart" uri="{C3380CC4-5D6E-409C-BE32-E72D297353CC}">
                <c16:uniqueId val="{0000000D-E7BC-4DD8-8D35-26DFAC71C2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pivot!$S$16:$S$22</c:f>
              <c:strCache>
                <c:ptCount val="7"/>
                <c:pt idx="0">
                  <c:v>Accounting</c:v>
                </c:pt>
                <c:pt idx="1">
                  <c:v>Finance</c:v>
                </c:pt>
                <c:pt idx="2">
                  <c:v>HR</c:v>
                </c:pt>
                <c:pt idx="3">
                  <c:v>Legal</c:v>
                </c:pt>
                <c:pt idx="4">
                  <c:v>Marketing</c:v>
                </c:pt>
                <c:pt idx="5">
                  <c:v>Operations</c:v>
                </c:pt>
                <c:pt idx="6">
                  <c:v>Sales</c:v>
                </c:pt>
              </c:strCache>
            </c:strRef>
          </c:cat>
          <c:val>
            <c:numRef>
              <c:f>pivot!$U$16:$U$22</c:f>
              <c:numCache>
                <c:formatCode>0%</c:formatCode>
                <c:ptCount val="7"/>
                <c:pt idx="0">
                  <c:v>7.6271186440677971E-2</c:v>
                </c:pt>
                <c:pt idx="1">
                  <c:v>8.4745762711864403E-2</c:v>
                </c:pt>
                <c:pt idx="2">
                  <c:v>0.21186440677966101</c:v>
                </c:pt>
                <c:pt idx="3">
                  <c:v>9.3220338983050849E-2</c:v>
                </c:pt>
                <c:pt idx="4">
                  <c:v>0.1271186440677966</c:v>
                </c:pt>
                <c:pt idx="5">
                  <c:v>0.2288135593220339</c:v>
                </c:pt>
                <c:pt idx="6">
                  <c:v>0.17796610169491525</c:v>
                </c:pt>
              </c:numCache>
            </c:numRef>
          </c:val>
          <c:extLst>
            <c:ext xmlns:c16="http://schemas.microsoft.com/office/drawing/2014/chart" uri="{C3380CC4-5D6E-409C-BE32-E72D297353CC}">
              <c16:uniqueId val="{0000000E-E7BC-4DD8-8D35-26DFAC71C2ED}"/>
            </c:ext>
          </c:extLst>
        </c:ser>
        <c:dLbls>
          <c:showLegendKey val="0"/>
          <c:showVal val="0"/>
          <c:showCatName val="0"/>
          <c:showSerName val="0"/>
          <c:showPercent val="0"/>
          <c:showBubbleSize val="0"/>
          <c:showLeaderLines val="1"/>
        </c:dLbls>
        <c:firstSliceAng val="0"/>
        <c:holeSize val="53"/>
        <c:extLst>
          <c:ext xmlns:c15="http://schemas.microsoft.com/office/drawing/2012/chart" uri="{02D57815-91ED-43cb-92C2-25804820EDAC}">
            <c15:filteredPieSeries>
              <c15:ser>
                <c:idx val="0"/>
                <c:order val="0"/>
                <c:tx>
                  <c:strRef>
                    <c:extLst>
                      <c:ext uri="{02D57815-91ED-43cb-92C2-25804820EDAC}">
                        <c15:formulaRef>
                          <c15:sqref>pivot!$T$15</c15:sqref>
                        </c15:formulaRef>
                      </c:ext>
                    </c:extLst>
                    <c:strCache>
                      <c:ptCount val="1"/>
                      <c:pt idx="0">
                        <c:v>HC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E7BC-4DD8-8D35-26DFAC71C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E7BC-4DD8-8D35-26DFAC71C2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E7BC-4DD8-8D35-26DFAC71C2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E7BC-4DD8-8D35-26DFAC71C2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E7BC-4DD8-8D35-26DFAC71C2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E7BC-4DD8-8D35-26DFAC71C2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E7BC-4DD8-8D35-26DFAC71C2ED}"/>
                    </c:ext>
                  </c:extLst>
                </c:dPt>
                <c:cat>
                  <c:strRef>
                    <c:extLst>
                      <c:ext uri="{02D57815-91ED-43cb-92C2-25804820EDAC}">
                        <c15:formulaRef>
                          <c15:sqref>pivot!$S$16:$S$22</c15:sqref>
                        </c15:formulaRef>
                      </c:ext>
                    </c:extLst>
                    <c:strCache>
                      <c:ptCount val="7"/>
                      <c:pt idx="0">
                        <c:v>Accounting</c:v>
                      </c:pt>
                      <c:pt idx="1">
                        <c:v>Finance</c:v>
                      </c:pt>
                      <c:pt idx="2">
                        <c:v>HR</c:v>
                      </c:pt>
                      <c:pt idx="3">
                        <c:v>Legal</c:v>
                      </c:pt>
                      <c:pt idx="4">
                        <c:v>Marketing</c:v>
                      </c:pt>
                      <c:pt idx="5">
                        <c:v>Operations</c:v>
                      </c:pt>
                      <c:pt idx="6">
                        <c:v>Sales</c:v>
                      </c:pt>
                    </c:strCache>
                  </c:strRef>
                </c:cat>
                <c:val>
                  <c:numRef>
                    <c:extLst>
                      <c:ext uri="{02D57815-91ED-43cb-92C2-25804820EDAC}">
                        <c15:formulaRef>
                          <c15:sqref>pivot!$T$16:$T$22</c15:sqref>
                        </c15:formulaRef>
                      </c:ext>
                    </c:extLst>
                    <c:numCache>
                      <c:formatCode>General</c:formatCode>
                      <c:ptCount val="7"/>
                      <c:pt idx="0">
                        <c:v>9</c:v>
                      </c:pt>
                      <c:pt idx="1">
                        <c:v>10</c:v>
                      </c:pt>
                      <c:pt idx="2">
                        <c:v>25</c:v>
                      </c:pt>
                      <c:pt idx="3">
                        <c:v>11</c:v>
                      </c:pt>
                      <c:pt idx="4">
                        <c:v>15</c:v>
                      </c:pt>
                      <c:pt idx="5">
                        <c:v>27</c:v>
                      </c:pt>
                      <c:pt idx="6">
                        <c:v>21</c:v>
                      </c:pt>
                    </c:numCache>
                  </c:numRef>
                </c:val>
                <c:extLst>
                  <c:ext xmlns:c16="http://schemas.microsoft.com/office/drawing/2014/chart" uri="{C3380CC4-5D6E-409C-BE32-E72D297353CC}">
                    <c16:uniqueId val="{0000001D-E7BC-4DD8-8D35-26DFAC71C2ED}"/>
                  </c:ext>
                </c:extLst>
              </c15:ser>
            </c15:filteredPieSeries>
          </c:ext>
        </c:extLst>
      </c:doughnutChart>
      <c:spPr>
        <a:noFill/>
        <a:ln>
          <a:noFill/>
        </a:ln>
        <a:effectLst/>
      </c:spPr>
    </c:plotArea>
    <c:legend>
      <c:legendPos val="r"/>
      <c:layout>
        <c:manualLayout>
          <c:xMode val="edge"/>
          <c:yMode val="edge"/>
          <c:x val="0.74079755490729415"/>
          <c:y val="0.15480752421993449"/>
          <c:w val="0.2592024450927059"/>
          <c:h val="0.714581784284800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7859762589806"/>
          <c:y val="8.2658955775387746E-2"/>
          <c:w val="0.31167373551678429"/>
          <c:h val="0.8760677767936017"/>
        </c:manualLayout>
      </c:layout>
      <c:barChart>
        <c:barDir val="col"/>
        <c:grouping val="stacked"/>
        <c:varyColors val="0"/>
        <c:ser>
          <c:idx val="0"/>
          <c:order val="0"/>
          <c:tx>
            <c:strRef>
              <c:f>pivot!$Z$16</c:f>
              <c:strCache>
                <c:ptCount val="1"/>
                <c:pt idx="0">
                  <c:v>Contract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pivot!$AA$15:$AB$15</c15:sqref>
                  </c15:fullRef>
                </c:ext>
              </c:extLst>
              <c:f>pivot!$AB$15</c:f>
              <c:strCache>
                <c:ptCount val="1"/>
                <c:pt idx="0">
                  <c:v>HC %</c:v>
                </c:pt>
              </c:strCache>
            </c:strRef>
          </c:cat>
          <c:val>
            <c:numRef>
              <c:extLst>
                <c:ext xmlns:c15="http://schemas.microsoft.com/office/drawing/2012/chart" uri="{02D57815-91ED-43cb-92C2-25804820EDAC}">
                  <c15:fullRef>
                    <c15:sqref>pivot!$AA$16:$AB$16</c15:sqref>
                  </c15:fullRef>
                </c:ext>
              </c:extLst>
              <c:f>pivot!$AB$16</c:f>
              <c:numCache>
                <c:formatCode>0%</c:formatCode>
                <c:ptCount val="1"/>
                <c:pt idx="0">
                  <c:v>0.11016949152542373</c:v>
                </c:pt>
              </c:numCache>
            </c:numRef>
          </c:val>
          <c:extLst>
            <c:ext xmlns:c16="http://schemas.microsoft.com/office/drawing/2014/chart" uri="{C3380CC4-5D6E-409C-BE32-E72D297353CC}">
              <c16:uniqueId val="{00000000-3A41-4C4B-A49F-FF29B774471F}"/>
            </c:ext>
          </c:extLst>
        </c:ser>
        <c:ser>
          <c:idx val="1"/>
          <c:order val="1"/>
          <c:tx>
            <c:strRef>
              <c:f>pivot!$Z$17</c:f>
              <c:strCache>
                <c:ptCount val="1"/>
                <c:pt idx="0">
                  <c:v>Permanent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pivot!$AA$15:$AB$15</c15:sqref>
                  </c15:fullRef>
                </c:ext>
              </c:extLst>
              <c:f>pivot!$AB$15</c:f>
              <c:strCache>
                <c:ptCount val="1"/>
                <c:pt idx="0">
                  <c:v>HC %</c:v>
                </c:pt>
              </c:strCache>
            </c:strRef>
          </c:cat>
          <c:val>
            <c:numRef>
              <c:extLst>
                <c:ext xmlns:c15="http://schemas.microsoft.com/office/drawing/2012/chart" uri="{02D57815-91ED-43cb-92C2-25804820EDAC}">
                  <c15:fullRef>
                    <c15:sqref>pivot!$AA$17:$AB$17</c15:sqref>
                  </c15:fullRef>
                </c:ext>
              </c:extLst>
              <c:f>pivot!$AB$17</c:f>
              <c:numCache>
                <c:formatCode>0%</c:formatCode>
                <c:ptCount val="1"/>
                <c:pt idx="0">
                  <c:v>0.88983050847457623</c:v>
                </c:pt>
              </c:numCache>
            </c:numRef>
          </c:val>
          <c:extLst>
            <c:ext xmlns:c16="http://schemas.microsoft.com/office/drawing/2014/chart" uri="{C3380CC4-5D6E-409C-BE32-E72D297353CC}">
              <c16:uniqueId val="{00000001-3A41-4C4B-A49F-FF29B774471F}"/>
            </c:ext>
          </c:extLst>
        </c:ser>
        <c:dLbls>
          <c:dLblPos val="ctr"/>
          <c:showLegendKey val="0"/>
          <c:showVal val="1"/>
          <c:showCatName val="0"/>
          <c:showSerName val="0"/>
          <c:showPercent val="0"/>
          <c:showBubbleSize val="0"/>
        </c:dLbls>
        <c:gapWidth val="150"/>
        <c:overlap val="100"/>
        <c:axId val="1468252223"/>
        <c:axId val="1468257983"/>
      </c:barChart>
      <c:catAx>
        <c:axId val="1468252223"/>
        <c:scaling>
          <c:orientation val="minMax"/>
        </c:scaling>
        <c:delete val="1"/>
        <c:axPos val="b"/>
        <c:numFmt formatCode="General" sourceLinked="1"/>
        <c:majorTickMark val="out"/>
        <c:minorTickMark val="none"/>
        <c:tickLblPos val="nextTo"/>
        <c:crossAx val="1468257983"/>
        <c:crosses val="autoZero"/>
        <c:auto val="1"/>
        <c:lblAlgn val="ctr"/>
        <c:lblOffset val="100"/>
        <c:noMultiLvlLbl val="0"/>
      </c:catAx>
      <c:valAx>
        <c:axId val="1468257983"/>
        <c:scaling>
          <c:orientation val="minMax"/>
          <c:max val="1"/>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pivot!$AE$15</c:f>
              <c:strCache>
                <c:ptCount val="1"/>
                <c:pt idx="0">
                  <c:v>HC</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pivot!$AD$16:$AD$21</c:f>
              <c:strCache>
                <c:ptCount val="6"/>
                <c:pt idx="0">
                  <c:v>5+ years</c:v>
                </c:pt>
                <c:pt idx="1">
                  <c:v>4+ years</c:v>
                </c:pt>
                <c:pt idx="2">
                  <c:v>3+ years</c:v>
                </c:pt>
                <c:pt idx="3">
                  <c:v>2+ years</c:v>
                </c:pt>
                <c:pt idx="4">
                  <c:v>1+ years</c:v>
                </c:pt>
                <c:pt idx="5">
                  <c:v>&lt;1 year</c:v>
                </c:pt>
              </c:strCache>
            </c:strRef>
          </c:cat>
          <c:val>
            <c:numRef>
              <c:f>pivot!$AE$16:$AE$21</c:f>
              <c:numCache>
                <c:formatCode>General</c:formatCode>
                <c:ptCount val="6"/>
                <c:pt idx="0">
                  <c:v>26</c:v>
                </c:pt>
                <c:pt idx="1">
                  <c:v>11</c:v>
                </c:pt>
                <c:pt idx="2">
                  <c:v>18</c:v>
                </c:pt>
                <c:pt idx="3">
                  <c:v>38</c:v>
                </c:pt>
                <c:pt idx="4">
                  <c:v>22</c:v>
                </c:pt>
                <c:pt idx="5">
                  <c:v>3</c:v>
                </c:pt>
              </c:numCache>
            </c:numRef>
          </c:val>
          <c:extLst>
            <c:ext xmlns:c16="http://schemas.microsoft.com/office/drawing/2014/chart" uri="{C3380CC4-5D6E-409C-BE32-E72D297353CC}">
              <c16:uniqueId val="{00000000-5FAE-4B3B-BA5F-C7FC5D0C4490}"/>
            </c:ext>
          </c:extLst>
        </c:ser>
        <c:dLbls>
          <c:dLblPos val="outEnd"/>
          <c:showLegendKey val="0"/>
          <c:showVal val="1"/>
          <c:showCatName val="0"/>
          <c:showSerName val="0"/>
          <c:showPercent val="0"/>
          <c:showBubbleSize val="0"/>
        </c:dLbls>
        <c:gapWidth val="65"/>
        <c:axId val="1399978927"/>
        <c:axId val="1399980847"/>
      </c:barChart>
      <c:catAx>
        <c:axId val="139997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80847"/>
        <c:crosses val="autoZero"/>
        <c:auto val="1"/>
        <c:lblAlgn val="ctr"/>
        <c:lblOffset val="100"/>
        <c:noMultiLvlLbl val="0"/>
      </c:catAx>
      <c:valAx>
        <c:axId val="1399980847"/>
        <c:scaling>
          <c:orientation val="minMax"/>
        </c:scaling>
        <c:delete val="1"/>
        <c:axPos val="b"/>
        <c:numFmt formatCode="General" sourceLinked="1"/>
        <c:majorTickMark val="none"/>
        <c:minorTickMark val="none"/>
        <c:tickLblPos val="nextTo"/>
        <c:crossAx val="1399978927"/>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1D689F3-0002-439F-8469-A90F965A94DE}">
          <cx:tx>
            <cx:txData>
              <cx:f>_xlchart.v2.1</cx:f>
              <cx:v>HC Reporting</cx:v>
            </cx:txData>
          </cx:tx>
          <cx:spPr>
            <a:solidFill>
              <a:srgbClr val="92D050"/>
            </a:solidFill>
            <a:ln>
              <a:noFill/>
            </a:ln>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5.png"/><Relationship Id="rId18" Type="http://schemas.microsoft.com/office/2007/relationships/hdphoto" Target="../media/hdphoto2.wdp"/><Relationship Id="rId3" Type="http://schemas.openxmlformats.org/officeDocument/2006/relationships/image" Target="../media/image2.png"/><Relationship Id="rId21" Type="http://schemas.openxmlformats.org/officeDocument/2006/relationships/image" Target="../media/image12.png"/><Relationship Id="rId7" Type="http://schemas.openxmlformats.org/officeDocument/2006/relationships/chart" Target="../charts/chart2.xml"/><Relationship Id="rId12" Type="http://schemas.openxmlformats.org/officeDocument/2006/relationships/chart" Target="../charts/chart6.xml"/><Relationship Id="rId17" Type="http://schemas.openxmlformats.org/officeDocument/2006/relationships/image" Target="../media/image9.png"/><Relationship Id="rId25" Type="http://schemas.openxmlformats.org/officeDocument/2006/relationships/image" Target="../media/image15.png"/><Relationship Id="rId2" Type="http://schemas.microsoft.com/office/2007/relationships/hdphoto" Target="../media/hdphoto1.wdp"/><Relationship Id="rId16" Type="http://schemas.openxmlformats.org/officeDocument/2006/relationships/image" Target="../media/image8.png"/><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5.xml"/><Relationship Id="rId24" Type="http://schemas.openxmlformats.org/officeDocument/2006/relationships/image" Target="../media/image14.png"/><Relationship Id="rId5" Type="http://schemas.openxmlformats.org/officeDocument/2006/relationships/image" Target="../media/image4.svg"/><Relationship Id="rId15" Type="http://schemas.openxmlformats.org/officeDocument/2006/relationships/image" Target="../media/image7.png"/><Relationship Id="rId23" Type="http://schemas.openxmlformats.org/officeDocument/2006/relationships/image" Target="../media/image13.png"/><Relationship Id="rId10" Type="http://schemas.microsoft.com/office/2014/relationships/chartEx" Target="../charts/chartEx1.xml"/><Relationship Id="rId19" Type="http://schemas.openxmlformats.org/officeDocument/2006/relationships/image" Target="../media/image10.png"/><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image" Target="../media/image6.png"/><Relationship Id="rId22" Type="http://schemas.microsoft.com/office/2007/relationships/hdphoto" Target="../media/hdphoto3.wdp"/></Relationships>
</file>

<file path=xl/drawings/drawing1.xml><?xml version="1.0" encoding="utf-8"?>
<xdr:wsDr xmlns:xdr="http://schemas.openxmlformats.org/drawingml/2006/spreadsheetDrawing" xmlns:a="http://schemas.openxmlformats.org/drawingml/2006/main">
  <xdr:twoCellAnchor>
    <xdr:from>
      <xdr:col>0</xdr:col>
      <xdr:colOff>78153</xdr:colOff>
      <xdr:row>0</xdr:row>
      <xdr:rowOff>29308</xdr:rowOff>
    </xdr:from>
    <xdr:to>
      <xdr:col>2</xdr:col>
      <xdr:colOff>105168</xdr:colOff>
      <xdr:row>4</xdr:row>
      <xdr:rowOff>29307</xdr:rowOff>
    </xdr:to>
    <xdr:sp macro="" textlink="">
      <xdr:nvSpPr>
        <xdr:cNvPr id="2" name="Rectangle 1">
          <a:extLst>
            <a:ext uri="{FF2B5EF4-FFF2-40B4-BE49-F238E27FC236}">
              <a16:creationId xmlns:a16="http://schemas.microsoft.com/office/drawing/2014/main" id="{3449AE57-36B6-F497-557A-ABE040151B0C}"/>
            </a:ext>
          </a:extLst>
        </xdr:cNvPr>
        <xdr:cNvSpPr/>
      </xdr:nvSpPr>
      <xdr:spPr>
        <a:xfrm>
          <a:off x="78153" y="29308"/>
          <a:ext cx="1238400" cy="742461"/>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211013</xdr:colOff>
      <xdr:row>0</xdr:row>
      <xdr:rowOff>64478</xdr:rowOff>
    </xdr:from>
    <xdr:to>
      <xdr:col>20</xdr:col>
      <xdr:colOff>25752</xdr:colOff>
      <xdr:row>4</xdr:row>
      <xdr:rowOff>35170</xdr:rowOff>
    </xdr:to>
    <xdr:sp macro="[0]!togglefullscreen" textlink="">
      <xdr:nvSpPr>
        <xdr:cNvPr id="3" name="Rectangle 2">
          <a:extLst>
            <a:ext uri="{FF2B5EF4-FFF2-40B4-BE49-F238E27FC236}">
              <a16:creationId xmlns:a16="http://schemas.microsoft.com/office/drawing/2014/main" id="{8F027FA0-9DEB-4DAF-94EE-FB41FC4FF877}"/>
            </a:ext>
          </a:extLst>
        </xdr:cNvPr>
        <xdr:cNvSpPr/>
      </xdr:nvSpPr>
      <xdr:spPr>
        <a:xfrm>
          <a:off x="1422398" y="64478"/>
          <a:ext cx="10717200" cy="713154"/>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332153</xdr:colOff>
      <xdr:row>0</xdr:row>
      <xdr:rowOff>97692</xdr:rowOff>
    </xdr:from>
    <xdr:to>
      <xdr:col>17</xdr:col>
      <xdr:colOff>263768</xdr:colOff>
      <xdr:row>3</xdr:row>
      <xdr:rowOff>146539</xdr:rowOff>
    </xdr:to>
    <xdr:sp macro="" textlink="">
      <xdr:nvSpPr>
        <xdr:cNvPr id="4" name="TextBox 3">
          <a:extLst>
            <a:ext uri="{FF2B5EF4-FFF2-40B4-BE49-F238E27FC236}">
              <a16:creationId xmlns:a16="http://schemas.microsoft.com/office/drawing/2014/main" id="{B47EC75E-EE6D-8FF4-1D56-2E83CE795FD2}"/>
            </a:ext>
          </a:extLst>
        </xdr:cNvPr>
        <xdr:cNvSpPr txBox="1"/>
      </xdr:nvSpPr>
      <xdr:spPr>
        <a:xfrm>
          <a:off x="2754922" y="97692"/>
          <a:ext cx="7805615" cy="605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rPr>
            <a:t>HR Analytics Team Dashboard</a:t>
          </a:r>
        </a:p>
      </xdr:txBody>
    </xdr:sp>
    <xdr:clientData/>
  </xdr:twoCellAnchor>
  <xdr:twoCellAnchor>
    <xdr:from>
      <xdr:col>0</xdr:col>
      <xdr:colOff>68385</xdr:colOff>
      <xdr:row>4</xdr:row>
      <xdr:rowOff>175846</xdr:rowOff>
    </xdr:from>
    <xdr:to>
      <xdr:col>2</xdr:col>
      <xdr:colOff>95400</xdr:colOff>
      <xdr:row>33</xdr:row>
      <xdr:rowOff>49000</xdr:rowOff>
    </xdr:to>
    <xdr:sp macro="" textlink="">
      <xdr:nvSpPr>
        <xdr:cNvPr id="5" name="Rectangle 4">
          <a:extLst>
            <a:ext uri="{FF2B5EF4-FFF2-40B4-BE49-F238E27FC236}">
              <a16:creationId xmlns:a16="http://schemas.microsoft.com/office/drawing/2014/main" id="{0DC0442A-CD78-4D00-AE66-222CA7FB5D00}"/>
            </a:ext>
          </a:extLst>
        </xdr:cNvPr>
        <xdr:cNvSpPr/>
      </xdr:nvSpPr>
      <xdr:spPr>
        <a:xfrm>
          <a:off x="68385" y="918308"/>
          <a:ext cx="1238400" cy="525600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220784</xdr:colOff>
      <xdr:row>4</xdr:row>
      <xdr:rowOff>131884</xdr:rowOff>
    </xdr:from>
    <xdr:to>
      <xdr:col>5</xdr:col>
      <xdr:colOff>488107</xdr:colOff>
      <xdr:row>8</xdr:row>
      <xdr:rowOff>174223</xdr:rowOff>
    </xdr:to>
    <xdr:sp macro="" textlink="">
      <xdr:nvSpPr>
        <xdr:cNvPr id="6" name="Rectangle 5">
          <a:extLst>
            <a:ext uri="{FF2B5EF4-FFF2-40B4-BE49-F238E27FC236}">
              <a16:creationId xmlns:a16="http://schemas.microsoft.com/office/drawing/2014/main" id="{05E0706A-B31C-4894-9A3B-876005E70E6F}"/>
            </a:ext>
          </a:extLst>
        </xdr:cNvPr>
        <xdr:cNvSpPr/>
      </xdr:nvSpPr>
      <xdr:spPr>
        <a:xfrm>
          <a:off x="1432169" y="874346"/>
          <a:ext cx="2084400" cy="7848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293076</xdr:colOff>
      <xdr:row>4</xdr:row>
      <xdr:rowOff>131884</xdr:rowOff>
    </xdr:from>
    <xdr:to>
      <xdr:col>12</xdr:col>
      <xdr:colOff>560399</xdr:colOff>
      <xdr:row>8</xdr:row>
      <xdr:rowOff>174223</xdr:rowOff>
    </xdr:to>
    <xdr:sp macro="" textlink="">
      <xdr:nvSpPr>
        <xdr:cNvPr id="7" name="Rectangle 6">
          <a:extLst>
            <a:ext uri="{FF2B5EF4-FFF2-40B4-BE49-F238E27FC236}">
              <a16:creationId xmlns:a16="http://schemas.microsoft.com/office/drawing/2014/main" id="{A898126B-7A4C-450F-AFE2-FB0EEAA46F66}"/>
            </a:ext>
          </a:extLst>
        </xdr:cNvPr>
        <xdr:cNvSpPr/>
      </xdr:nvSpPr>
      <xdr:spPr>
        <a:xfrm>
          <a:off x="5744307" y="874346"/>
          <a:ext cx="2084400" cy="7848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6838</xdr:colOff>
      <xdr:row>4</xdr:row>
      <xdr:rowOff>141653</xdr:rowOff>
    </xdr:from>
    <xdr:to>
      <xdr:col>16</xdr:col>
      <xdr:colOff>274161</xdr:colOff>
      <xdr:row>8</xdr:row>
      <xdr:rowOff>183992</xdr:rowOff>
    </xdr:to>
    <xdr:sp macro="" textlink="">
      <xdr:nvSpPr>
        <xdr:cNvPr id="8" name="Rectangle 7">
          <a:extLst>
            <a:ext uri="{FF2B5EF4-FFF2-40B4-BE49-F238E27FC236}">
              <a16:creationId xmlns:a16="http://schemas.microsoft.com/office/drawing/2014/main" id="{FF76B8B3-9D2C-4D44-8B75-E29A7FDBD8C6}"/>
            </a:ext>
          </a:extLst>
        </xdr:cNvPr>
        <xdr:cNvSpPr/>
      </xdr:nvSpPr>
      <xdr:spPr>
        <a:xfrm>
          <a:off x="7880838" y="884115"/>
          <a:ext cx="2084400" cy="7848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365369</xdr:colOff>
      <xdr:row>4</xdr:row>
      <xdr:rowOff>131884</xdr:rowOff>
    </xdr:from>
    <xdr:to>
      <xdr:col>20</xdr:col>
      <xdr:colOff>27000</xdr:colOff>
      <xdr:row>8</xdr:row>
      <xdr:rowOff>174223</xdr:rowOff>
    </xdr:to>
    <xdr:sp macro="" textlink="">
      <xdr:nvSpPr>
        <xdr:cNvPr id="9" name="Rectangle 8">
          <a:extLst>
            <a:ext uri="{FF2B5EF4-FFF2-40B4-BE49-F238E27FC236}">
              <a16:creationId xmlns:a16="http://schemas.microsoft.com/office/drawing/2014/main" id="{49DF9190-0502-448D-B852-6A294B7E33FC}"/>
            </a:ext>
          </a:extLst>
        </xdr:cNvPr>
        <xdr:cNvSpPr/>
      </xdr:nvSpPr>
      <xdr:spPr>
        <a:xfrm>
          <a:off x="10056446" y="874346"/>
          <a:ext cx="2084400" cy="7848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559776</xdr:colOff>
      <xdr:row>4</xdr:row>
      <xdr:rowOff>131884</xdr:rowOff>
    </xdr:from>
    <xdr:to>
      <xdr:col>9</xdr:col>
      <xdr:colOff>221407</xdr:colOff>
      <xdr:row>8</xdr:row>
      <xdr:rowOff>174223</xdr:rowOff>
    </xdr:to>
    <xdr:sp macro="" textlink="">
      <xdr:nvSpPr>
        <xdr:cNvPr id="11" name="Rectangle 10">
          <a:extLst>
            <a:ext uri="{FF2B5EF4-FFF2-40B4-BE49-F238E27FC236}">
              <a16:creationId xmlns:a16="http://schemas.microsoft.com/office/drawing/2014/main" id="{53F408AC-1564-44AF-8486-82729B03378D}"/>
            </a:ext>
          </a:extLst>
        </xdr:cNvPr>
        <xdr:cNvSpPr/>
      </xdr:nvSpPr>
      <xdr:spPr>
        <a:xfrm>
          <a:off x="3588238" y="874346"/>
          <a:ext cx="2084400" cy="7848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168029</xdr:colOff>
      <xdr:row>9</xdr:row>
      <xdr:rowOff>139701</xdr:rowOff>
    </xdr:from>
    <xdr:to>
      <xdr:col>8</xdr:col>
      <xdr:colOff>371476</xdr:colOff>
      <xdr:row>21</xdr:row>
      <xdr:rowOff>90316</xdr:rowOff>
    </xdr:to>
    <xdr:sp macro="" textlink="">
      <xdr:nvSpPr>
        <xdr:cNvPr id="12" name="Rectangle 11">
          <a:extLst>
            <a:ext uri="{FF2B5EF4-FFF2-40B4-BE49-F238E27FC236}">
              <a16:creationId xmlns:a16="http://schemas.microsoft.com/office/drawing/2014/main" id="{C0C0AAAD-9878-4570-8AF4-8463226A2EC1}"/>
            </a:ext>
          </a:extLst>
        </xdr:cNvPr>
        <xdr:cNvSpPr/>
      </xdr:nvSpPr>
      <xdr:spPr>
        <a:xfrm>
          <a:off x="1379414" y="1810239"/>
          <a:ext cx="3837600" cy="21780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478661</xdr:colOff>
      <xdr:row>9</xdr:row>
      <xdr:rowOff>100624</xdr:rowOff>
    </xdr:from>
    <xdr:to>
      <xdr:col>13</xdr:col>
      <xdr:colOff>185615</xdr:colOff>
      <xdr:row>21</xdr:row>
      <xdr:rowOff>51239</xdr:rowOff>
    </xdr:to>
    <xdr:sp macro="" textlink="">
      <xdr:nvSpPr>
        <xdr:cNvPr id="13" name="Rectangle 12">
          <a:extLst>
            <a:ext uri="{FF2B5EF4-FFF2-40B4-BE49-F238E27FC236}">
              <a16:creationId xmlns:a16="http://schemas.microsoft.com/office/drawing/2014/main" id="{C061C493-0E2D-4E99-998C-3A33D8BF4208}"/>
            </a:ext>
          </a:extLst>
        </xdr:cNvPr>
        <xdr:cNvSpPr/>
      </xdr:nvSpPr>
      <xdr:spPr>
        <a:xfrm>
          <a:off x="5324199" y="1771162"/>
          <a:ext cx="2735416" cy="21780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277446</xdr:colOff>
      <xdr:row>9</xdr:row>
      <xdr:rowOff>129931</xdr:rowOff>
    </xdr:from>
    <xdr:to>
      <xdr:col>20</xdr:col>
      <xdr:colOff>58615</xdr:colOff>
      <xdr:row>21</xdr:row>
      <xdr:rowOff>80546</xdr:rowOff>
    </xdr:to>
    <xdr:sp macro="" textlink="">
      <xdr:nvSpPr>
        <xdr:cNvPr id="14" name="Rectangle 13">
          <a:extLst>
            <a:ext uri="{FF2B5EF4-FFF2-40B4-BE49-F238E27FC236}">
              <a16:creationId xmlns:a16="http://schemas.microsoft.com/office/drawing/2014/main" id="{50654E24-2A0F-4EBE-9929-BA9A49972B1B}"/>
            </a:ext>
          </a:extLst>
        </xdr:cNvPr>
        <xdr:cNvSpPr/>
      </xdr:nvSpPr>
      <xdr:spPr>
        <a:xfrm>
          <a:off x="8151446" y="1800469"/>
          <a:ext cx="4021015" cy="2178000"/>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4321</xdr:colOff>
      <xdr:row>21</xdr:row>
      <xdr:rowOff>176824</xdr:rowOff>
    </xdr:from>
    <xdr:to>
      <xdr:col>12</xdr:col>
      <xdr:colOff>41475</xdr:colOff>
      <xdr:row>33</xdr:row>
      <xdr:rowOff>31262</xdr:rowOff>
    </xdr:to>
    <xdr:sp macro="" textlink="">
      <xdr:nvSpPr>
        <xdr:cNvPr id="16" name="Rectangle 15">
          <a:extLst>
            <a:ext uri="{FF2B5EF4-FFF2-40B4-BE49-F238E27FC236}">
              <a16:creationId xmlns:a16="http://schemas.microsoft.com/office/drawing/2014/main" id="{8A1266B0-8E42-4A0A-9FC4-DD768EAF36B6}"/>
            </a:ext>
          </a:extLst>
        </xdr:cNvPr>
        <xdr:cNvSpPr/>
      </xdr:nvSpPr>
      <xdr:spPr>
        <a:xfrm>
          <a:off x="4244167" y="4074747"/>
          <a:ext cx="3065616" cy="2081823"/>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127858</xdr:colOff>
      <xdr:row>21</xdr:row>
      <xdr:rowOff>176824</xdr:rowOff>
    </xdr:from>
    <xdr:to>
      <xdr:col>15</xdr:col>
      <xdr:colOff>236001</xdr:colOff>
      <xdr:row>33</xdr:row>
      <xdr:rowOff>31262</xdr:rowOff>
    </xdr:to>
    <xdr:sp macro="" textlink="">
      <xdr:nvSpPr>
        <xdr:cNvPr id="17" name="Rectangle 16">
          <a:extLst>
            <a:ext uri="{FF2B5EF4-FFF2-40B4-BE49-F238E27FC236}">
              <a16:creationId xmlns:a16="http://schemas.microsoft.com/office/drawing/2014/main" id="{EC742805-CA19-4F1C-9B47-E9A61157A30C}"/>
            </a:ext>
          </a:extLst>
        </xdr:cNvPr>
        <xdr:cNvSpPr/>
      </xdr:nvSpPr>
      <xdr:spPr>
        <a:xfrm>
          <a:off x="7396166" y="4074747"/>
          <a:ext cx="1925220" cy="2081823"/>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322384</xdr:colOff>
      <xdr:row>21</xdr:row>
      <xdr:rowOff>176824</xdr:rowOff>
    </xdr:from>
    <xdr:to>
      <xdr:col>20</xdr:col>
      <xdr:colOff>39077</xdr:colOff>
      <xdr:row>33</xdr:row>
      <xdr:rowOff>31262</xdr:rowOff>
    </xdr:to>
    <xdr:sp macro="" textlink="">
      <xdr:nvSpPr>
        <xdr:cNvPr id="18" name="Rectangle 17">
          <a:extLst>
            <a:ext uri="{FF2B5EF4-FFF2-40B4-BE49-F238E27FC236}">
              <a16:creationId xmlns:a16="http://schemas.microsoft.com/office/drawing/2014/main" id="{7C767DAD-4E16-4FE3-A97C-C1BE1F338C52}"/>
            </a:ext>
          </a:extLst>
        </xdr:cNvPr>
        <xdr:cNvSpPr/>
      </xdr:nvSpPr>
      <xdr:spPr>
        <a:xfrm>
          <a:off x="9407769" y="4074747"/>
          <a:ext cx="2745154" cy="2081823"/>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250091</xdr:colOff>
      <xdr:row>21</xdr:row>
      <xdr:rowOff>176824</xdr:rowOff>
    </xdr:from>
    <xdr:to>
      <xdr:col>6</xdr:col>
      <xdr:colOff>572476</xdr:colOff>
      <xdr:row>33</xdr:row>
      <xdr:rowOff>31262</xdr:rowOff>
    </xdr:to>
    <xdr:sp macro="" textlink="">
      <xdr:nvSpPr>
        <xdr:cNvPr id="19" name="Rectangle 18">
          <a:extLst>
            <a:ext uri="{FF2B5EF4-FFF2-40B4-BE49-F238E27FC236}">
              <a16:creationId xmlns:a16="http://schemas.microsoft.com/office/drawing/2014/main" id="{4BE0636D-172C-494A-A8AE-55AF4D7076B5}"/>
            </a:ext>
          </a:extLst>
        </xdr:cNvPr>
        <xdr:cNvSpPr/>
      </xdr:nvSpPr>
      <xdr:spPr>
        <a:xfrm>
          <a:off x="1461476" y="4074747"/>
          <a:ext cx="2745154" cy="2081823"/>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380999</xdr:colOff>
      <xdr:row>0</xdr:row>
      <xdr:rowOff>97693</xdr:rowOff>
    </xdr:from>
    <xdr:to>
      <xdr:col>1</xdr:col>
      <xdr:colOff>234462</xdr:colOff>
      <xdr:row>2</xdr:row>
      <xdr:rowOff>127000</xdr:rowOff>
    </xdr:to>
    <xdr:pic>
      <xdr:nvPicPr>
        <xdr:cNvPr id="28" name="Picture 27">
          <a:extLst>
            <a:ext uri="{FF2B5EF4-FFF2-40B4-BE49-F238E27FC236}">
              <a16:creationId xmlns:a16="http://schemas.microsoft.com/office/drawing/2014/main" id="{047BE3EA-95FD-A601-4A92-7CC2B93D1EDD}"/>
            </a:ext>
          </a:extLst>
        </xdr:cNvPr>
        <xdr:cNvPicPr>
          <a:picLocks noChangeAspect="1"/>
        </xdr:cNvPicPr>
      </xdr:nvPicPr>
      <xdr:blipFill>
        <a:blip xmlns:r="http://schemas.openxmlformats.org/officeDocument/2006/relationships" r:embed="rId1">
          <a:duotone>
            <a:schemeClr val="bg2">
              <a:shade val="45000"/>
              <a:satMod val="135000"/>
            </a:schemeClr>
            <a:prstClr val="white"/>
          </a:duotone>
          <a:extLst>
            <a:ext uri="{BEBA8EAE-BF5A-486C-A8C5-ECC9F3942E4B}">
              <a14:imgProps xmlns:a14="http://schemas.microsoft.com/office/drawing/2010/main">
                <a14:imgLayer r:embed="rId2">
                  <a14:imgEffect>
                    <a14:colorTemperature colorTemp="7200"/>
                  </a14:imgEffect>
                  <a14:imgEffect>
                    <a14:saturation sat="0"/>
                  </a14:imgEffect>
                </a14:imgLayer>
              </a14:imgProps>
            </a:ext>
          </a:extLst>
        </a:blip>
        <a:stretch>
          <a:fillRect/>
        </a:stretch>
      </xdr:blipFill>
      <xdr:spPr>
        <a:xfrm>
          <a:off x="380999" y="97693"/>
          <a:ext cx="459155" cy="400538"/>
        </a:xfrm>
        <a:prstGeom prst="rect">
          <a:avLst/>
        </a:prstGeom>
      </xdr:spPr>
    </xdr:pic>
    <xdr:clientData/>
  </xdr:twoCellAnchor>
  <xdr:twoCellAnchor editAs="oneCell">
    <xdr:from>
      <xdr:col>2</xdr:col>
      <xdr:colOff>390771</xdr:colOff>
      <xdr:row>0</xdr:row>
      <xdr:rowOff>117231</xdr:rowOff>
    </xdr:from>
    <xdr:to>
      <xdr:col>3</xdr:col>
      <xdr:colOff>537309</xdr:colOff>
      <xdr:row>3</xdr:row>
      <xdr:rowOff>127001</xdr:rowOff>
    </xdr:to>
    <xdr:pic>
      <xdr:nvPicPr>
        <xdr:cNvPr id="29" name="Picture 28">
          <a:extLst>
            <a:ext uri="{FF2B5EF4-FFF2-40B4-BE49-F238E27FC236}">
              <a16:creationId xmlns:a16="http://schemas.microsoft.com/office/drawing/2014/main" id="{41B028D2-919A-A56B-DF15-D4A7B3231456}"/>
            </a:ext>
          </a:extLst>
        </xdr:cNvPr>
        <xdr:cNvPicPr>
          <a:picLocks noChangeAspect="1"/>
        </xdr:cNvPicPr>
      </xdr:nvPicPr>
      <xdr:blipFill>
        <a:blip xmlns:r="http://schemas.openxmlformats.org/officeDocument/2006/relationships" r:embed="rId3"/>
        <a:stretch>
          <a:fillRect/>
        </a:stretch>
      </xdr:blipFill>
      <xdr:spPr>
        <a:xfrm>
          <a:off x="1602156" y="117231"/>
          <a:ext cx="752230" cy="566616"/>
        </a:xfrm>
        <a:prstGeom prst="rect">
          <a:avLst/>
        </a:prstGeom>
      </xdr:spPr>
    </xdr:pic>
    <xdr:clientData/>
  </xdr:twoCellAnchor>
  <xdr:twoCellAnchor editAs="oneCell">
    <xdr:from>
      <xdr:col>18</xdr:col>
      <xdr:colOff>498230</xdr:colOff>
      <xdr:row>0</xdr:row>
      <xdr:rowOff>107459</xdr:rowOff>
    </xdr:from>
    <xdr:to>
      <xdr:col>19</xdr:col>
      <xdr:colOff>533398</xdr:colOff>
      <xdr:row>3</xdr:row>
      <xdr:rowOff>126998</xdr:rowOff>
    </xdr:to>
    <xdr:pic macro="[0]!Graphic30_Click">
      <xdr:nvPicPr>
        <xdr:cNvPr id="31" name="Graphic 30" descr="Monitor with solid fill">
          <a:extLst>
            <a:ext uri="{FF2B5EF4-FFF2-40B4-BE49-F238E27FC236}">
              <a16:creationId xmlns:a16="http://schemas.microsoft.com/office/drawing/2014/main" id="{28EFCE03-561A-10FC-1637-B1083843DA4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400692" y="107459"/>
          <a:ext cx="640860" cy="576385"/>
        </a:xfrm>
        <a:prstGeom prst="rect">
          <a:avLst/>
        </a:prstGeom>
      </xdr:spPr>
    </xdr:pic>
    <xdr:clientData/>
  </xdr:twoCellAnchor>
  <xdr:twoCellAnchor>
    <xdr:from>
      <xdr:col>3</xdr:col>
      <xdr:colOff>429846</xdr:colOff>
      <xdr:row>4</xdr:row>
      <xdr:rowOff>97692</xdr:rowOff>
    </xdr:from>
    <xdr:to>
      <xdr:col>5</xdr:col>
      <xdr:colOff>537307</xdr:colOff>
      <xdr:row>6</xdr:row>
      <xdr:rowOff>48847</xdr:rowOff>
    </xdr:to>
    <xdr:sp macro="" textlink="">
      <xdr:nvSpPr>
        <xdr:cNvPr id="32" name="TextBox 31">
          <a:extLst>
            <a:ext uri="{FF2B5EF4-FFF2-40B4-BE49-F238E27FC236}">
              <a16:creationId xmlns:a16="http://schemas.microsoft.com/office/drawing/2014/main" id="{D2A43F3E-5DBA-7FEF-DAFB-15274D650F61}"/>
            </a:ext>
          </a:extLst>
        </xdr:cNvPr>
        <xdr:cNvSpPr txBox="1"/>
      </xdr:nvSpPr>
      <xdr:spPr>
        <a:xfrm>
          <a:off x="2246923" y="840154"/>
          <a:ext cx="1318846"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Times New Roman" panose="02020603050405020304" pitchFamily="18" charset="0"/>
              <a:cs typeface="Times New Roman" panose="02020603050405020304" pitchFamily="18" charset="0"/>
            </a:rPr>
            <a:t>Overall</a:t>
          </a:r>
          <a:r>
            <a:rPr lang="en-IN" sz="1800" b="1" baseline="0">
              <a:latin typeface="Times New Roman" panose="02020603050405020304" pitchFamily="18" charset="0"/>
              <a:cs typeface="Times New Roman" panose="02020603050405020304" pitchFamily="18" charset="0"/>
            </a:rPr>
            <a:t> HC</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7</xdr:col>
      <xdr:colOff>289169</xdr:colOff>
      <xdr:row>4</xdr:row>
      <xdr:rowOff>123092</xdr:rowOff>
    </xdr:from>
    <xdr:to>
      <xdr:col>9</xdr:col>
      <xdr:colOff>396630</xdr:colOff>
      <xdr:row>6</xdr:row>
      <xdr:rowOff>74247</xdr:rowOff>
    </xdr:to>
    <xdr:sp macro="" textlink="">
      <xdr:nvSpPr>
        <xdr:cNvPr id="35" name="TextBox 34">
          <a:extLst>
            <a:ext uri="{FF2B5EF4-FFF2-40B4-BE49-F238E27FC236}">
              <a16:creationId xmlns:a16="http://schemas.microsoft.com/office/drawing/2014/main" id="{B0105787-559C-4395-9E94-03D12DFD97DE}"/>
            </a:ext>
          </a:extLst>
        </xdr:cNvPr>
        <xdr:cNvSpPr txBox="1"/>
      </xdr:nvSpPr>
      <xdr:spPr>
        <a:xfrm>
          <a:off x="4529015" y="865554"/>
          <a:ext cx="1318846"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latin typeface="Times New Roman" panose="02020603050405020304" pitchFamily="18" charset="0"/>
              <a:cs typeface="Times New Roman" panose="02020603050405020304" pitchFamily="18" charset="0"/>
            </a:rPr>
            <a:t>Active HC</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10</xdr:col>
      <xdr:colOff>539261</xdr:colOff>
      <xdr:row>4</xdr:row>
      <xdr:rowOff>119185</xdr:rowOff>
    </xdr:from>
    <xdr:to>
      <xdr:col>13</xdr:col>
      <xdr:colOff>41030</xdr:colOff>
      <xdr:row>6</xdr:row>
      <xdr:rowOff>70340</xdr:rowOff>
    </xdr:to>
    <xdr:sp macro="" textlink="">
      <xdr:nvSpPr>
        <xdr:cNvPr id="36" name="TextBox 35">
          <a:extLst>
            <a:ext uri="{FF2B5EF4-FFF2-40B4-BE49-F238E27FC236}">
              <a16:creationId xmlns:a16="http://schemas.microsoft.com/office/drawing/2014/main" id="{C39F6033-04C3-4437-B015-D5DAEA7D6136}"/>
            </a:ext>
          </a:extLst>
        </xdr:cNvPr>
        <xdr:cNvSpPr txBox="1"/>
      </xdr:nvSpPr>
      <xdr:spPr>
        <a:xfrm>
          <a:off x="6596184" y="861647"/>
          <a:ext cx="1318846"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Attrition</a:t>
          </a:r>
        </a:p>
      </xdr:txBody>
    </xdr:sp>
    <xdr:clientData/>
  </xdr:twoCellAnchor>
  <xdr:twoCellAnchor>
    <xdr:from>
      <xdr:col>14</xdr:col>
      <xdr:colOff>205154</xdr:colOff>
      <xdr:row>4</xdr:row>
      <xdr:rowOff>105508</xdr:rowOff>
    </xdr:from>
    <xdr:to>
      <xdr:col>16</xdr:col>
      <xdr:colOff>388813</xdr:colOff>
      <xdr:row>6</xdr:row>
      <xdr:rowOff>78155</xdr:rowOff>
    </xdr:to>
    <xdr:sp macro="" textlink="">
      <xdr:nvSpPr>
        <xdr:cNvPr id="37" name="TextBox 36">
          <a:extLst>
            <a:ext uri="{FF2B5EF4-FFF2-40B4-BE49-F238E27FC236}">
              <a16:creationId xmlns:a16="http://schemas.microsoft.com/office/drawing/2014/main" id="{7E4F47BD-981C-4FE5-9F40-7CB7F07FA9C0}"/>
            </a:ext>
          </a:extLst>
        </xdr:cNvPr>
        <xdr:cNvSpPr txBox="1"/>
      </xdr:nvSpPr>
      <xdr:spPr>
        <a:xfrm>
          <a:off x="8684846" y="847970"/>
          <a:ext cx="1395044" cy="34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Attrition</a:t>
          </a:r>
          <a:r>
            <a:rPr lang="en-IN" sz="1800" b="1" baseline="0">
              <a:latin typeface="Times New Roman" panose="02020603050405020304" pitchFamily="18" charset="0"/>
              <a:cs typeface="Times New Roman" panose="02020603050405020304" pitchFamily="18" charset="0"/>
            </a:rPr>
            <a:t>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18</xdr:col>
      <xdr:colOff>44937</xdr:colOff>
      <xdr:row>4</xdr:row>
      <xdr:rowOff>101602</xdr:rowOff>
    </xdr:from>
    <xdr:to>
      <xdr:col>20</xdr:col>
      <xdr:colOff>29307</xdr:colOff>
      <xdr:row>6</xdr:row>
      <xdr:rowOff>74249</xdr:rowOff>
    </xdr:to>
    <xdr:sp macro="" textlink="">
      <xdr:nvSpPr>
        <xdr:cNvPr id="39" name="TextBox 38">
          <a:extLst>
            <a:ext uri="{FF2B5EF4-FFF2-40B4-BE49-F238E27FC236}">
              <a16:creationId xmlns:a16="http://schemas.microsoft.com/office/drawing/2014/main" id="{A1AD13F0-0E91-4BFC-9F61-20D7E4312D9B}"/>
            </a:ext>
          </a:extLst>
        </xdr:cNvPr>
        <xdr:cNvSpPr txBox="1"/>
      </xdr:nvSpPr>
      <xdr:spPr>
        <a:xfrm>
          <a:off x="10947399" y="844064"/>
          <a:ext cx="1195754" cy="34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Times New Roman" panose="02020603050405020304" pitchFamily="18" charset="0"/>
              <a:cs typeface="Times New Roman" panose="02020603050405020304" pitchFamily="18" charset="0"/>
            </a:rPr>
            <a:t>Tranfer</a:t>
          </a:r>
        </a:p>
      </xdr:txBody>
    </xdr:sp>
    <xdr:clientData/>
  </xdr:twoCellAnchor>
  <xdr:twoCellAnchor>
    <xdr:from>
      <xdr:col>4</xdr:col>
      <xdr:colOff>93785</xdr:colOff>
      <xdr:row>6</xdr:row>
      <xdr:rowOff>44939</xdr:rowOff>
    </xdr:from>
    <xdr:to>
      <xdr:col>5</xdr:col>
      <xdr:colOff>244230</xdr:colOff>
      <xdr:row>8</xdr:row>
      <xdr:rowOff>107462</xdr:rowOff>
    </xdr:to>
    <xdr:sp macro="" textlink="pivot!C16">
      <xdr:nvSpPr>
        <xdr:cNvPr id="40" name="TextBox 39">
          <a:extLst>
            <a:ext uri="{FF2B5EF4-FFF2-40B4-BE49-F238E27FC236}">
              <a16:creationId xmlns:a16="http://schemas.microsoft.com/office/drawing/2014/main" id="{DA8E42AB-56C2-4C0E-BDA7-38D80CCA66D7}"/>
            </a:ext>
          </a:extLst>
        </xdr:cNvPr>
        <xdr:cNvSpPr txBox="1"/>
      </xdr:nvSpPr>
      <xdr:spPr>
        <a:xfrm>
          <a:off x="2516554" y="1158631"/>
          <a:ext cx="756138" cy="43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C3800A-F055-48D3-BA6E-348A08033E09}" type="TxLink">
            <a:rPr lang="en-US" sz="2400" b="1" i="0" u="none" strike="noStrike">
              <a:solidFill>
                <a:srgbClr val="000000"/>
              </a:solidFill>
              <a:latin typeface="Aptos Narrow"/>
              <a:cs typeface="Times New Roman" panose="02020603050405020304" pitchFamily="18" charset="0"/>
            </a:rPr>
            <a:pPr/>
            <a:t>171</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7</xdr:col>
      <xdr:colOff>578339</xdr:colOff>
      <xdr:row>6</xdr:row>
      <xdr:rowOff>60570</xdr:rowOff>
    </xdr:from>
    <xdr:to>
      <xdr:col>9</xdr:col>
      <xdr:colOff>123092</xdr:colOff>
      <xdr:row>8</xdr:row>
      <xdr:rowOff>123093</xdr:rowOff>
    </xdr:to>
    <xdr:sp macro="" textlink="pivot!C17">
      <xdr:nvSpPr>
        <xdr:cNvPr id="41" name="TextBox 40">
          <a:extLst>
            <a:ext uri="{FF2B5EF4-FFF2-40B4-BE49-F238E27FC236}">
              <a16:creationId xmlns:a16="http://schemas.microsoft.com/office/drawing/2014/main" id="{AF0A244C-B649-4CD7-AFF2-E404C5FACC95}"/>
            </a:ext>
          </a:extLst>
        </xdr:cNvPr>
        <xdr:cNvSpPr txBox="1"/>
      </xdr:nvSpPr>
      <xdr:spPr>
        <a:xfrm>
          <a:off x="4818185" y="1174262"/>
          <a:ext cx="756138" cy="43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8A62A3-8DEE-4177-A55F-32366162A4CC}" type="TxLink">
            <a:rPr lang="en-US" sz="2400" b="1" i="0" u="none" strike="noStrike">
              <a:solidFill>
                <a:srgbClr val="000000"/>
              </a:solidFill>
              <a:latin typeface="Aptos Narrow"/>
              <a:ea typeface="+mn-ea"/>
              <a:cs typeface="Times New Roman" panose="02020603050405020304" pitchFamily="18" charset="0"/>
            </a:rPr>
            <a:pPr marL="0" indent="0"/>
            <a:t>118</a:t>
          </a:fld>
          <a:endParaRPr lang="en-IN" sz="2400" b="1" i="0" u="none" strike="noStrike">
            <a:solidFill>
              <a:srgbClr val="000000"/>
            </a:solidFill>
            <a:latin typeface="Aptos Narrow"/>
            <a:ea typeface="+mn-ea"/>
            <a:cs typeface="Times New Roman" panose="02020603050405020304" pitchFamily="18" charset="0"/>
          </a:endParaRPr>
        </a:p>
      </xdr:txBody>
    </xdr:sp>
    <xdr:clientData/>
  </xdr:twoCellAnchor>
  <xdr:twoCellAnchor>
    <xdr:from>
      <xdr:col>11</xdr:col>
      <xdr:colOff>164124</xdr:colOff>
      <xdr:row>6</xdr:row>
      <xdr:rowOff>46893</xdr:rowOff>
    </xdr:from>
    <xdr:to>
      <xdr:col>12</xdr:col>
      <xdr:colOff>314569</xdr:colOff>
      <xdr:row>8</xdr:row>
      <xdr:rowOff>109416</xdr:rowOff>
    </xdr:to>
    <xdr:sp macro="" textlink="pivot!C18">
      <xdr:nvSpPr>
        <xdr:cNvPr id="42" name="TextBox 41">
          <a:extLst>
            <a:ext uri="{FF2B5EF4-FFF2-40B4-BE49-F238E27FC236}">
              <a16:creationId xmlns:a16="http://schemas.microsoft.com/office/drawing/2014/main" id="{885BE79A-4AFA-4DF8-8137-8F94C8657B92}"/>
            </a:ext>
          </a:extLst>
        </xdr:cNvPr>
        <xdr:cNvSpPr txBox="1"/>
      </xdr:nvSpPr>
      <xdr:spPr>
        <a:xfrm>
          <a:off x="6826739" y="1160585"/>
          <a:ext cx="756138" cy="43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0BB840-7439-4E4F-9CC8-B2F3BACBCC98}" type="TxLink">
            <a:rPr lang="en-US" sz="2400" b="1" i="0" u="none" strike="noStrike">
              <a:solidFill>
                <a:srgbClr val="000000"/>
              </a:solidFill>
              <a:latin typeface="Aptos Narrow"/>
              <a:ea typeface="+mn-ea"/>
              <a:cs typeface="Times New Roman" panose="02020603050405020304" pitchFamily="18" charset="0"/>
            </a:rPr>
            <a:pPr marL="0" indent="0"/>
            <a:t>47</a:t>
          </a:fld>
          <a:endParaRPr lang="en-IN" sz="2400" b="1" i="0" u="none" strike="noStrike">
            <a:solidFill>
              <a:srgbClr val="000000"/>
            </a:solidFill>
            <a:latin typeface="Aptos Narrow"/>
            <a:ea typeface="+mn-ea"/>
            <a:cs typeface="Times New Roman" panose="02020603050405020304" pitchFamily="18" charset="0"/>
          </a:endParaRPr>
        </a:p>
      </xdr:txBody>
    </xdr:sp>
    <xdr:clientData/>
  </xdr:twoCellAnchor>
  <xdr:twoCellAnchor>
    <xdr:from>
      <xdr:col>14</xdr:col>
      <xdr:colOff>511909</xdr:colOff>
      <xdr:row>6</xdr:row>
      <xdr:rowOff>23447</xdr:rowOff>
    </xdr:from>
    <xdr:to>
      <xdr:col>16</xdr:col>
      <xdr:colOff>56662</xdr:colOff>
      <xdr:row>8</xdr:row>
      <xdr:rowOff>85970</xdr:rowOff>
    </xdr:to>
    <xdr:sp macro="" textlink="pivot!C19">
      <xdr:nvSpPr>
        <xdr:cNvPr id="43" name="TextBox 42">
          <a:extLst>
            <a:ext uri="{FF2B5EF4-FFF2-40B4-BE49-F238E27FC236}">
              <a16:creationId xmlns:a16="http://schemas.microsoft.com/office/drawing/2014/main" id="{29CEFC0F-C076-41D7-8B04-433630CAE5F9}"/>
            </a:ext>
          </a:extLst>
        </xdr:cNvPr>
        <xdr:cNvSpPr txBox="1"/>
      </xdr:nvSpPr>
      <xdr:spPr>
        <a:xfrm>
          <a:off x="8991601" y="1137139"/>
          <a:ext cx="756138" cy="43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2E6E973-7C25-431F-93F8-61425D8C17DB}" type="TxLink">
            <a:rPr lang="en-US" sz="2400" b="1" i="0" u="none" strike="noStrike">
              <a:solidFill>
                <a:srgbClr val="000000"/>
              </a:solidFill>
              <a:latin typeface="Aptos Narrow"/>
              <a:ea typeface="+mn-ea"/>
              <a:cs typeface="Times New Roman" panose="02020603050405020304" pitchFamily="18" charset="0"/>
            </a:rPr>
            <a:pPr marL="0" indent="0"/>
            <a:t>27%</a:t>
          </a:fld>
          <a:endParaRPr lang="en-IN" sz="2400" b="1" i="0" u="none" strike="noStrike">
            <a:solidFill>
              <a:srgbClr val="000000"/>
            </a:solidFill>
            <a:latin typeface="Aptos Narrow"/>
            <a:ea typeface="+mn-ea"/>
            <a:cs typeface="Times New Roman" panose="02020603050405020304" pitchFamily="18" charset="0"/>
          </a:endParaRPr>
        </a:p>
      </xdr:txBody>
    </xdr:sp>
    <xdr:clientData/>
  </xdr:twoCellAnchor>
  <xdr:twoCellAnchor>
    <xdr:from>
      <xdr:col>18</xdr:col>
      <xdr:colOff>322386</xdr:colOff>
      <xdr:row>6</xdr:row>
      <xdr:rowOff>1</xdr:rowOff>
    </xdr:from>
    <xdr:to>
      <xdr:col>19</xdr:col>
      <xdr:colOff>472832</xdr:colOff>
      <xdr:row>8</xdr:row>
      <xdr:rowOff>62524</xdr:rowOff>
    </xdr:to>
    <xdr:sp macro="" textlink="pivot!C20">
      <xdr:nvSpPr>
        <xdr:cNvPr id="44" name="TextBox 43">
          <a:extLst>
            <a:ext uri="{FF2B5EF4-FFF2-40B4-BE49-F238E27FC236}">
              <a16:creationId xmlns:a16="http://schemas.microsoft.com/office/drawing/2014/main" id="{77CEB4B3-4171-4402-8F8E-4F1370EC25D6}"/>
            </a:ext>
          </a:extLst>
        </xdr:cNvPr>
        <xdr:cNvSpPr txBox="1"/>
      </xdr:nvSpPr>
      <xdr:spPr>
        <a:xfrm>
          <a:off x="11224848" y="1113693"/>
          <a:ext cx="756138" cy="43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1C4AA0D-FF32-450B-96DC-15166225E678}" type="TxLink">
            <a:rPr lang="en-US" sz="2400" b="1" i="0" u="none" strike="noStrike">
              <a:solidFill>
                <a:srgbClr val="000000"/>
              </a:solidFill>
              <a:latin typeface="Aptos Narrow"/>
              <a:ea typeface="+mn-ea"/>
              <a:cs typeface="Times New Roman" panose="02020603050405020304" pitchFamily="18" charset="0"/>
            </a:rPr>
            <a:pPr marL="0" indent="0"/>
            <a:t>6</a:t>
          </a:fld>
          <a:endParaRPr lang="en-IN" sz="2400" b="1" i="0" u="none" strike="noStrike">
            <a:solidFill>
              <a:srgbClr val="000000"/>
            </a:solidFill>
            <a:latin typeface="Aptos Narrow"/>
            <a:ea typeface="+mn-ea"/>
            <a:cs typeface="Times New Roman" panose="02020603050405020304" pitchFamily="18" charset="0"/>
          </a:endParaRPr>
        </a:p>
      </xdr:txBody>
    </xdr:sp>
    <xdr:clientData/>
  </xdr:twoCellAnchor>
  <xdr:twoCellAnchor>
    <xdr:from>
      <xdr:col>2</xdr:col>
      <xdr:colOff>168029</xdr:colOff>
      <xdr:row>9</xdr:row>
      <xdr:rowOff>127000</xdr:rowOff>
    </xdr:from>
    <xdr:to>
      <xdr:col>8</xdr:col>
      <xdr:colOff>361462</xdr:colOff>
      <xdr:row>21</xdr:row>
      <xdr:rowOff>78154</xdr:rowOff>
    </xdr:to>
    <xdr:graphicFrame macro="">
      <xdr:nvGraphicFramePr>
        <xdr:cNvPr id="46" name="Chart 45">
          <a:extLst>
            <a:ext uri="{FF2B5EF4-FFF2-40B4-BE49-F238E27FC236}">
              <a16:creationId xmlns:a16="http://schemas.microsoft.com/office/drawing/2014/main" id="{E5C57EBD-C062-49CE-A869-5B04B4ED8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420077</xdr:colOff>
      <xdr:row>10</xdr:row>
      <xdr:rowOff>15631</xdr:rowOff>
    </xdr:from>
    <xdr:to>
      <xdr:col>7</xdr:col>
      <xdr:colOff>214924</xdr:colOff>
      <xdr:row>11</xdr:row>
      <xdr:rowOff>152401</xdr:rowOff>
    </xdr:to>
    <xdr:sp macro="" textlink="">
      <xdr:nvSpPr>
        <xdr:cNvPr id="47" name="TextBox 46">
          <a:extLst>
            <a:ext uri="{FF2B5EF4-FFF2-40B4-BE49-F238E27FC236}">
              <a16:creationId xmlns:a16="http://schemas.microsoft.com/office/drawing/2014/main" id="{EE12A024-D89A-483F-846E-5D2D4E6EEA25}"/>
            </a:ext>
          </a:extLst>
        </xdr:cNvPr>
        <xdr:cNvSpPr txBox="1"/>
      </xdr:nvSpPr>
      <xdr:spPr>
        <a:xfrm>
          <a:off x="1631462" y="1871785"/>
          <a:ext cx="2823308"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chemeClr val="dk1"/>
              </a:solidFill>
              <a:latin typeface="Times New Roman" panose="02020603050405020304" pitchFamily="18" charset="0"/>
              <a:ea typeface="+mn-ea"/>
              <a:cs typeface="Times New Roman" panose="02020603050405020304" pitchFamily="18" charset="0"/>
            </a:rPr>
            <a:t>HC Growth</a:t>
          </a:r>
        </a:p>
      </xdr:txBody>
    </xdr:sp>
    <xdr:clientData/>
  </xdr:twoCellAnchor>
  <xdr:twoCellAnchor>
    <xdr:from>
      <xdr:col>8</xdr:col>
      <xdr:colOff>459154</xdr:colOff>
      <xdr:row>9</xdr:row>
      <xdr:rowOff>136769</xdr:rowOff>
    </xdr:from>
    <xdr:to>
      <xdr:col>13</xdr:col>
      <xdr:colOff>195385</xdr:colOff>
      <xdr:row>21</xdr:row>
      <xdr:rowOff>48845</xdr:rowOff>
    </xdr:to>
    <xdr:graphicFrame macro="">
      <xdr:nvGraphicFramePr>
        <xdr:cNvPr id="48" name="Chart 47">
          <a:extLst>
            <a:ext uri="{FF2B5EF4-FFF2-40B4-BE49-F238E27FC236}">
              <a16:creationId xmlns:a16="http://schemas.microsoft.com/office/drawing/2014/main" id="{23D82C10-89DF-4E1E-AD78-A6C40885B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605692</xdr:colOff>
      <xdr:row>10</xdr:row>
      <xdr:rowOff>1955</xdr:rowOff>
    </xdr:from>
    <xdr:to>
      <xdr:col>13</xdr:col>
      <xdr:colOff>25399</xdr:colOff>
      <xdr:row>11</xdr:row>
      <xdr:rowOff>97694</xdr:rowOff>
    </xdr:to>
    <xdr:sp macro="" textlink="">
      <xdr:nvSpPr>
        <xdr:cNvPr id="10" name="TextBox 9">
          <a:extLst>
            <a:ext uri="{FF2B5EF4-FFF2-40B4-BE49-F238E27FC236}">
              <a16:creationId xmlns:a16="http://schemas.microsoft.com/office/drawing/2014/main" id="{BAB932A1-E7F4-483B-9AC6-29855D26AD5A}"/>
            </a:ext>
          </a:extLst>
        </xdr:cNvPr>
        <xdr:cNvSpPr txBox="1"/>
      </xdr:nvSpPr>
      <xdr:spPr>
        <a:xfrm>
          <a:off x="5451230" y="1858109"/>
          <a:ext cx="2448169" cy="28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chemeClr val="dk1"/>
              </a:solidFill>
              <a:latin typeface="Times New Roman" panose="02020603050405020304" pitchFamily="18" charset="0"/>
              <a:ea typeface="+mn-ea"/>
              <a:cs typeface="Times New Roman" panose="02020603050405020304" pitchFamily="18" charset="0"/>
            </a:rPr>
            <a:t>Diversity %</a:t>
          </a:r>
        </a:p>
      </xdr:txBody>
    </xdr:sp>
    <xdr:clientData/>
  </xdr:twoCellAnchor>
  <xdr:twoCellAnchor>
    <xdr:from>
      <xdr:col>12</xdr:col>
      <xdr:colOff>332153</xdr:colOff>
      <xdr:row>13</xdr:row>
      <xdr:rowOff>93785</xdr:rowOff>
    </xdr:from>
    <xdr:to>
      <xdr:col>13</xdr:col>
      <xdr:colOff>214924</xdr:colOff>
      <xdr:row>15</xdr:row>
      <xdr:rowOff>9769</xdr:rowOff>
    </xdr:to>
    <xdr:sp macro="" textlink="">
      <xdr:nvSpPr>
        <xdr:cNvPr id="15" name="TextBox 14">
          <a:extLst>
            <a:ext uri="{FF2B5EF4-FFF2-40B4-BE49-F238E27FC236}">
              <a16:creationId xmlns:a16="http://schemas.microsoft.com/office/drawing/2014/main" id="{62C1A85B-B954-4F3F-AAD4-3259C3AD8CD2}"/>
            </a:ext>
          </a:extLst>
        </xdr:cNvPr>
        <xdr:cNvSpPr txBox="1"/>
      </xdr:nvSpPr>
      <xdr:spPr>
        <a:xfrm>
          <a:off x="7600461" y="2506785"/>
          <a:ext cx="488463" cy="287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Times New Roman" panose="02020603050405020304" pitchFamily="18" charset="0"/>
              <a:cs typeface="Times New Roman" panose="02020603050405020304" pitchFamily="18" charset="0"/>
            </a:rPr>
            <a:t>Male</a:t>
          </a:r>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12</xdr:col>
      <xdr:colOff>234463</xdr:colOff>
      <xdr:row>17</xdr:row>
      <xdr:rowOff>97692</xdr:rowOff>
    </xdr:from>
    <xdr:to>
      <xdr:col>13</xdr:col>
      <xdr:colOff>279401</xdr:colOff>
      <xdr:row>18</xdr:row>
      <xdr:rowOff>146538</xdr:rowOff>
    </xdr:to>
    <xdr:sp macro="" textlink="">
      <xdr:nvSpPr>
        <xdr:cNvPr id="20" name="TextBox 19">
          <a:extLst>
            <a:ext uri="{FF2B5EF4-FFF2-40B4-BE49-F238E27FC236}">
              <a16:creationId xmlns:a16="http://schemas.microsoft.com/office/drawing/2014/main" id="{2CEB7BAB-53AF-408C-990C-2251A843C6B6}"/>
            </a:ext>
          </a:extLst>
        </xdr:cNvPr>
        <xdr:cNvSpPr txBox="1"/>
      </xdr:nvSpPr>
      <xdr:spPr>
        <a:xfrm>
          <a:off x="7502771" y="3253154"/>
          <a:ext cx="650630"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latin typeface="Times New Roman" panose="02020603050405020304" pitchFamily="18" charset="0"/>
              <a:cs typeface="Times New Roman" panose="02020603050405020304" pitchFamily="18" charset="0"/>
            </a:rPr>
            <a:t>Female</a:t>
          </a:r>
          <a:endParaRPr lang="en-IN" sz="2400" b="0">
            <a:latin typeface="Times New Roman" panose="02020603050405020304" pitchFamily="18" charset="0"/>
            <a:cs typeface="Times New Roman" panose="02020603050405020304" pitchFamily="18" charset="0"/>
          </a:endParaRPr>
        </a:p>
      </xdr:txBody>
    </xdr:sp>
    <xdr:clientData/>
  </xdr:twoCellAnchor>
  <xdr:twoCellAnchor>
    <xdr:from>
      <xdr:col>12</xdr:col>
      <xdr:colOff>328247</xdr:colOff>
      <xdr:row>12</xdr:row>
      <xdr:rowOff>80109</xdr:rowOff>
    </xdr:from>
    <xdr:to>
      <xdr:col>13</xdr:col>
      <xdr:colOff>97693</xdr:colOff>
      <xdr:row>13</xdr:row>
      <xdr:rowOff>156308</xdr:rowOff>
    </xdr:to>
    <xdr:sp macro="" textlink="pivot!L17">
      <xdr:nvSpPr>
        <xdr:cNvPr id="21" name="TextBox 20">
          <a:extLst>
            <a:ext uri="{FF2B5EF4-FFF2-40B4-BE49-F238E27FC236}">
              <a16:creationId xmlns:a16="http://schemas.microsoft.com/office/drawing/2014/main" id="{20E93521-EA9B-49C4-A619-72BB4E1DB140}"/>
            </a:ext>
          </a:extLst>
        </xdr:cNvPr>
        <xdr:cNvSpPr txBox="1"/>
      </xdr:nvSpPr>
      <xdr:spPr>
        <a:xfrm>
          <a:off x="7596555" y="2307494"/>
          <a:ext cx="375138" cy="261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EC839C-2901-41BD-BCC8-F9F877637254}" type="TxLink">
            <a:rPr lang="en-US" sz="1400" b="1" i="0" u="none" strike="noStrike">
              <a:solidFill>
                <a:srgbClr val="00B0F0"/>
              </a:solidFill>
              <a:latin typeface="Aptos Narrow"/>
              <a:cs typeface="Times New Roman" panose="02020603050405020304" pitchFamily="18" charset="0"/>
            </a:rPr>
            <a:pPr/>
            <a:t>73</a:t>
          </a:fld>
          <a:endParaRPr lang="en-IN" sz="1800" b="1">
            <a:solidFill>
              <a:srgbClr val="00B0F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314570</xdr:colOff>
      <xdr:row>16</xdr:row>
      <xdr:rowOff>37125</xdr:rowOff>
    </xdr:from>
    <xdr:to>
      <xdr:col>13</xdr:col>
      <xdr:colOff>84016</xdr:colOff>
      <xdr:row>17</xdr:row>
      <xdr:rowOff>113323</xdr:rowOff>
    </xdr:to>
    <xdr:sp macro="" textlink="pivot!L16">
      <xdr:nvSpPr>
        <xdr:cNvPr id="22" name="TextBox 21">
          <a:extLst>
            <a:ext uri="{FF2B5EF4-FFF2-40B4-BE49-F238E27FC236}">
              <a16:creationId xmlns:a16="http://schemas.microsoft.com/office/drawing/2014/main" id="{A53DE8C3-40D6-4C6D-89A6-0B1598ADB068}"/>
            </a:ext>
          </a:extLst>
        </xdr:cNvPr>
        <xdr:cNvSpPr txBox="1"/>
      </xdr:nvSpPr>
      <xdr:spPr>
        <a:xfrm>
          <a:off x="7582878" y="3006971"/>
          <a:ext cx="375138" cy="261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5454C8-FAA0-4886-AAB8-52F59D519372}" type="TxLink">
            <a:rPr lang="en-US" sz="1400" b="1" i="0" u="none" strike="noStrike">
              <a:solidFill>
                <a:srgbClr val="FF0000"/>
              </a:solidFill>
              <a:latin typeface="Aptos Narrow"/>
              <a:cs typeface="Times New Roman" panose="02020603050405020304" pitchFamily="18" charset="0"/>
            </a:rPr>
            <a:pPr/>
            <a:t>45</a:t>
          </a:fld>
          <a:endParaRPr lang="en-IN" sz="18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277446</xdr:colOff>
      <xdr:row>9</xdr:row>
      <xdr:rowOff>166077</xdr:rowOff>
    </xdr:from>
    <xdr:to>
      <xdr:col>20</xdr:col>
      <xdr:colOff>78154</xdr:colOff>
      <xdr:row>21</xdr:row>
      <xdr:rowOff>78154</xdr:rowOff>
    </xdr:to>
    <xdr:graphicFrame macro="">
      <xdr:nvGraphicFramePr>
        <xdr:cNvPr id="23" name="Chart 22">
          <a:extLst>
            <a:ext uri="{FF2B5EF4-FFF2-40B4-BE49-F238E27FC236}">
              <a16:creationId xmlns:a16="http://schemas.microsoft.com/office/drawing/2014/main" id="{9A1F587D-1779-49B0-AE16-262B30EBD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273539</xdr:colOff>
      <xdr:row>10</xdr:row>
      <xdr:rowOff>109414</xdr:rowOff>
    </xdr:from>
    <xdr:to>
      <xdr:col>19</xdr:col>
      <xdr:colOff>586154</xdr:colOff>
      <xdr:row>12</xdr:row>
      <xdr:rowOff>9768</xdr:rowOff>
    </xdr:to>
    <xdr:sp macro="" textlink="">
      <xdr:nvSpPr>
        <xdr:cNvPr id="24" name="TextBox 23">
          <a:extLst>
            <a:ext uri="{FF2B5EF4-FFF2-40B4-BE49-F238E27FC236}">
              <a16:creationId xmlns:a16="http://schemas.microsoft.com/office/drawing/2014/main" id="{D31425CA-66FF-4F37-B387-B66F789E3CFB}"/>
            </a:ext>
          </a:extLst>
        </xdr:cNvPr>
        <xdr:cNvSpPr txBox="1"/>
      </xdr:nvSpPr>
      <xdr:spPr>
        <a:xfrm>
          <a:off x="11176001" y="1965568"/>
          <a:ext cx="918307" cy="271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Times New Roman" panose="02020603050405020304" pitchFamily="18" charset="0"/>
              <a:cs typeface="Times New Roman" panose="02020603050405020304" pitchFamily="18" charset="0"/>
            </a:rPr>
            <a:t>Management</a:t>
          </a:r>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18</xdr:col>
      <xdr:colOff>314895</xdr:colOff>
      <xdr:row>13</xdr:row>
      <xdr:rowOff>26702</xdr:rowOff>
    </xdr:from>
    <xdr:to>
      <xdr:col>20</xdr:col>
      <xdr:colOff>55033</xdr:colOff>
      <xdr:row>14</xdr:row>
      <xdr:rowOff>87272</xdr:rowOff>
    </xdr:to>
    <xdr:sp macro="" textlink="">
      <xdr:nvSpPr>
        <xdr:cNvPr id="25" name="TextBox 24">
          <a:extLst>
            <a:ext uri="{FF2B5EF4-FFF2-40B4-BE49-F238E27FC236}">
              <a16:creationId xmlns:a16="http://schemas.microsoft.com/office/drawing/2014/main" id="{B207CED0-6661-4CC1-B6DB-381A4419CA0E}"/>
            </a:ext>
          </a:extLst>
        </xdr:cNvPr>
        <xdr:cNvSpPr txBox="1"/>
      </xdr:nvSpPr>
      <xdr:spPr>
        <a:xfrm>
          <a:off x="11217357" y="2439702"/>
          <a:ext cx="951522" cy="246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Times New Roman" panose="02020603050405020304" pitchFamily="18" charset="0"/>
              <a:cs typeface="Times New Roman" panose="02020603050405020304" pitchFamily="18" charset="0"/>
            </a:rPr>
            <a:t>Professional</a:t>
          </a:r>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18</xdr:col>
      <xdr:colOff>389466</xdr:colOff>
      <xdr:row>15</xdr:row>
      <xdr:rowOff>104205</xdr:rowOff>
    </xdr:from>
    <xdr:to>
      <xdr:col>20</xdr:col>
      <xdr:colOff>26051</xdr:colOff>
      <xdr:row>17</xdr:row>
      <xdr:rowOff>12374</xdr:rowOff>
    </xdr:to>
    <xdr:sp macro="" textlink="">
      <xdr:nvSpPr>
        <xdr:cNvPr id="26" name="TextBox 25">
          <a:extLst>
            <a:ext uri="{FF2B5EF4-FFF2-40B4-BE49-F238E27FC236}">
              <a16:creationId xmlns:a16="http://schemas.microsoft.com/office/drawing/2014/main" id="{BCE2BCD7-6C05-4A26-A623-9D8A8AB1B472}"/>
            </a:ext>
          </a:extLst>
        </xdr:cNvPr>
        <xdr:cNvSpPr txBox="1"/>
      </xdr:nvSpPr>
      <xdr:spPr>
        <a:xfrm>
          <a:off x="11291928" y="2888436"/>
          <a:ext cx="847969"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Times New Roman" panose="02020603050405020304" pitchFamily="18" charset="0"/>
              <a:cs typeface="Times New Roman" panose="02020603050405020304" pitchFamily="18" charset="0"/>
            </a:rPr>
            <a:t>Trainees</a:t>
          </a:r>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18</xdr:col>
      <xdr:colOff>360485</xdr:colOff>
      <xdr:row>18</xdr:row>
      <xdr:rowOff>29307</xdr:rowOff>
    </xdr:from>
    <xdr:to>
      <xdr:col>19</xdr:col>
      <xdr:colOff>499208</xdr:colOff>
      <xdr:row>19</xdr:row>
      <xdr:rowOff>107461</xdr:rowOff>
    </xdr:to>
    <xdr:sp macro="" textlink="">
      <xdr:nvSpPr>
        <xdr:cNvPr id="30" name="TextBox 29">
          <a:extLst>
            <a:ext uri="{FF2B5EF4-FFF2-40B4-BE49-F238E27FC236}">
              <a16:creationId xmlns:a16="http://schemas.microsoft.com/office/drawing/2014/main" id="{41B5594B-2D12-4338-8E3A-79558D241F3A}"/>
            </a:ext>
          </a:extLst>
        </xdr:cNvPr>
        <xdr:cNvSpPr txBox="1"/>
      </xdr:nvSpPr>
      <xdr:spPr>
        <a:xfrm>
          <a:off x="11262947" y="3370384"/>
          <a:ext cx="744415"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Times New Roman" panose="02020603050405020304" pitchFamily="18" charset="0"/>
              <a:cs typeface="Times New Roman" panose="02020603050405020304" pitchFamily="18" charset="0"/>
            </a:rPr>
            <a:t>Contract</a:t>
          </a:r>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18</xdr:col>
      <xdr:colOff>500185</xdr:colOff>
      <xdr:row>11</xdr:row>
      <xdr:rowOff>105510</xdr:rowOff>
    </xdr:from>
    <xdr:to>
      <xdr:col>19</xdr:col>
      <xdr:colOff>269631</xdr:colOff>
      <xdr:row>12</xdr:row>
      <xdr:rowOff>181708</xdr:rowOff>
    </xdr:to>
    <xdr:sp macro="" textlink="pivot!P19">
      <xdr:nvSpPr>
        <xdr:cNvPr id="33" name="TextBox 32">
          <a:extLst>
            <a:ext uri="{FF2B5EF4-FFF2-40B4-BE49-F238E27FC236}">
              <a16:creationId xmlns:a16="http://schemas.microsoft.com/office/drawing/2014/main" id="{518B355C-0516-4E0E-AF00-827B485F6C64}"/>
            </a:ext>
          </a:extLst>
        </xdr:cNvPr>
        <xdr:cNvSpPr txBox="1"/>
      </xdr:nvSpPr>
      <xdr:spPr>
        <a:xfrm>
          <a:off x="11402647" y="2147279"/>
          <a:ext cx="375138" cy="261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779024-6FDF-4A02-8B98-9ED288F5F394}" type="TxLink">
            <a:rPr lang="en-US" sz="1400" b="1" i="0" u="none" strike="noStrike">
              <a:solidFill>
                <a:srgbClr val="92D050"/>
              </a:solidFill>
              <a:latin typeface="Aptos Narrow"/>
              <a:cs typeface="Times New Roman" panose="02020603050405020304" pitchFamily="18" charset="0"/>
            </a:rPr>
            <a:pPr/>
            <a:t>21</a:t>
          </a:fld>
          <a:endParaRPr lang="en-IN" sz="1800" b="1">
            <a:solidFill>
              <a:srgbClr val="92D05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545124</xdr:colOff>
      <xdr:row>14</xdr:row>
      <xdr:rowOff>23448</xdr:rowOff>
    </xdr:from>
    <xdr:to>
      <xdr:col>19</xdr:col>
      <xdr:colOff>314570</xdr:colOff>
      <xdr:row>15</xdr:row>
      <xdr:rowOff>99646</xdr:rowOff>
    </xdr:to>
    <xdr:sp macro="" textlink="pivot!P18">
      <xdr:nvSpPr>
        <xdr:cNvPr id="34" name="TextBox 33">
          <a:extLst>
            <a:ext uri="{FF2B5EF4-FFF2-40B4-BE49-F238E27FC236}">
              <a16:creationId xmlns:a16="http://schemas.microsoft.com/office/drawing/2014/main" id="{F224602C-E89D-4AA5-8E9A-65735C3F78CF}"/>
            </a:ext>
          </a:extLst>
        </xdr:cNvPr>
        <xdr:cNvSpPr txBox="1"/>
      </xdr:nvSpPr>
      <xdr:spPr>
        <a:xfrm>
          <a:off x="11447586" y="2622063"/>
          <a:ext cx="375138" cy="261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EADB5D-BD40-4212-9D6C-444CB274AC26}" type="TxLink">
            <a:rPr lang="en-US" sz="1400" b="1" i="0" u="none" strike="noStrike">
              <a:solidFill>
                <a:srgbClr val="00B0F0"/>
              </a:solidFill>
              <a:latin typeface="Aptos Narrow"/>
              <a:cs typeface="Times New Roman" panose="02020603050405020304" pitchFamily="18" charset="0"/>
            </a:rPr>
            <a:pPr/>
            <a:t>43</a:t>
          </a:fld>
          <a:endParaRPr lang="en-IN" sz="1800" b="1">
            <a:solidFill>
              <a:srgbClr val="00B0F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531446</xdr:colOff>
      <xdr:row>16</xdr:row>
      <xdr:rowOff>136771</xdr:rowOff>
    </xdr:from>
    <xdr:to>
      <xdr:col>19</xdr:col>
      <xdr:colOff>380999</xdr:colOff>
      <xdr:row>18</xdr:row>
      <xdr:rowOff>29308</xdr:rowOff>
    </xdr:to>
    <xdr:sp macro="" textlink="pivot!P17">
      <xdr:nvSpPr>
        <xdr:cNvPr id="38" name="TextBox 37">
          <a:extLst>
            <a:ext uri="{FF2B5EF4-FFF2-40B4-BE49-F238E27FC236}">
              <a16:creationId xmlns:a16="http://schemas.microsoft.com/office/drawing/2014/main" id="{D2536372-6B60-4FAA-9EBF-D79860F9E428}"/>
            </a:ext>
          </a:extLst>
        </xdr:cNvPr>
        <xdr:cNvSpPr txBox="1"/>
      </xdr:nvSpPr>
      <xdr:spPr>
        <a:xfrm>
          <a:off x="11433908" y="3106617"/>
          <a:ext cx="455245" cy="263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DEF433-ED92-4A47-BCA9-2476CED6F0D0}" type="TxLink">
            <a:rPr lang="en-US" sz="1400" b="1" i="0" u="none" strike="noStrike">
              <a:solidFill>
                <a:srgbClr val="FF0000"/>
              </a:solidFill>
              <a:latin typeface="Aptos Narrow"/>
              <a:ea typeface="+mn-ea"/>
              <a:cs typeface="Times New Roman" panose="02020603050405020304" pitchFamily="18" charset="0"/>
            </a:rPr>
            <a:pPr marL="0" indent="0"/>
            <a:t>41</a:t>
          </a:fld>
          <a:endParaRPr lang="en-IN" sz="1400" b="1" i="0" u="none" strike="noStrike">
            <a:solidFill>
              <a:srgbClr val="FF0000"/>
            </a:solidFill>
            <a:latin typeface="Aptos Narrow"/>
            <a:ea typeface="+mn-ea"/>
            <a:cs typeface="Times New Roman" panose="02020603050405020304" pitchFamily="18" charset="0"/>
          </a:endParaRPr>
        </a:p>
      </xdr:txBody>
    </xdr:sp>
    <xdr:clientData/>
  </xdr:twoCellAnchor>
  <xdr:twoCellAnchor>
    <xdr:from>
      <xdr:col>18</xdr:col>
      <xdr:colOff>566616</xdr:colOff>
      <xdr:row>19</xdr:row>
      <xdr:rowOff>44940</xdr:rowOff>
    </xdr:from>
    <xdr:to>
      <xdr:col>19</xdr:col>
      <xdr:colOff>416169</xdr:colOff>
      <xdr:row>20</xdr:row>
      <xdr:rowOff>123092</xdr:rowOff>
    </xdr:to>
    <xdr:sp macro="" textlink="pivot!P16">
      <xdr:nvSpPr>
        <xdr:cNvPr id="45" name="TextBox 44">
          <a:extLst>
            <a:ext uri="{FF2B5EF4-FFF2-40B4-BE49-F238E27FC236}">
              <a16:creationId xmlns:a16="http://schemas.microsoft.com/office/drawing/2014/main" id="{62788664-A529-4EE8-9240-E0114EC29180}"/>
            </a:ext>
          </a:extLst>
        </xdr:cNvPr>
        <xdr:cNvSpPr txBox="1"/>
      </xdr:nvSpPr>
      <xdr:spPr>
        <a:xfrm>
          <a:off x="11469078" y="3571632"/>
          <a:ext cx="455245" cy="263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6E2E7-D73F-4479-8FFD-A9B21A96604D}" type="TxLink">
            <a:rPr lang="en-US" sz="1400" b="1" i="0" u="none" strike="noStrike">
              <a:solidFill>
                <a:srgbClr val="FFFF00"/>
              </a:solidFill>
              <a:latin typeface="Aptos Narrow"/>
              <a:cs typeface="Times New Roman" panose="02020603050405020304" pitchFamily="18" charset="0"/>
            </a:rPr>
            <a:pPr/>
            <a:t>13</a:t>
          </a:fld>
          <a:endParaRPr lang="en-IN" sz="1800" b="1">
            <a:solidFill>
              <a:srgbClr val="FFFF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494322</xdr:colOff>
      <xdr:row>9</xdr:row>
      <xdr:rowOff>154356</xdr:rowOff>
    </xdr:from>
    <xdr:to>
      <xdr:col>17</xdr:col>
      <xdr:colOff>519722</xdr:colOff>
      <xdr:row>11</xdr:row>
      <xdr:rowOff>64479</xdr:rowOff>
    </xdr:to>
    <xdr:sp macro="" textlink="">
      <xdr:nvSpPr>
        <xdr:cNvPr id="49" name="TextBox 48">
          <a:extLst>
            <a:ext uri="{FF2B5EF4-FFF2-40B4-BE49-F238E27FC236}">
              <a16:creationId xmlns:a16="http://schemas.microsoft.com/office/drawing/2014/main" id="{DF2A6F26-BF67-48F6-8D9B-68C520D7424E}"/>
            </a:ext>
          </a:extLst>
        </xdr:cNvPr>
        <xdr:cNvSpPr txBox="1"/>
      </xdr:nvSpPr>
      <xdr:spPr>
        <a:xfrm>
          <a:off x="8368322" y="1824894"/>
          <a:ext cx="2448169" cy="28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chemeClr val="dk1"/>
              </a:solidFill>
              <a:latin typeface="Times New Roman" panose="02020603050405020304" pitchFamily="18" charset="0"/>
              <a:ea typeface="+mn-ea"/>
              <a:cs typeface="Times New Roman" panose="02020603050405020304" pitchFamily="18" charset="0"/>
            </a:rPr>
            <a:t>Job level  %</a:t>
          </a:r>
        </a:p>
      </xdr:txBody>
    </xdr:sp>
    <xdr:clientData/>
  </xdr:twoCellAnchor>
  <xdr:twoCellAnchor>
    <xdr:from>
      <xdr:col>2</xdr:col>
      <xdr:colOff>250091</xdr:colOff>
      <xdr:row>21</xdr:row>
      <xdr:rowOff>176823</xdr:rowOff>
    </xdr:from>
    <xdr:to>
      <xdr:col>6</xdr:col>
      <xdr:colOff>586154</xdr:colOff>
      <xdr:row>33</xdr:row>
      <xdr:rowOff>48845</xdr:rowOff>
    </xdr:to>
    <xdr:graphicFrame macro="">
      <xdr:nvGraphicFramePr>
        <xdr:cNvPr id="50" name="Chart 49">
          <a:extLst>
            <a:ext uri="{FF2B5EF4-FFF2-40B4-BE49-F238E27FC236}">
              <a16:creationId xmlns:a16="http://schemas.microsoft.com/office/drawing/2014/main" id="{77A3294C-6CB5-4753-A343-31928182C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302846</xdr:colOff>
      <xdr:row>21</xdr:row>
      <xdr:rowOff>158262</xdr:rowOff>
    </xdr:from>
    <xdr:to>
      <xdr:col>6</xdr:col>
      <xdr:colOff>396631</xdr:colOff>
      <xdr:row>23</xdr:row>
      <xdr:rowOff>109416</xdr:rowOff>
    </xdr:to>
    <xdr:sp macro="" textlink="">
      <xdr:nvSpPr>
        <xdr:cNvPr id="51" name="TextBox 50">
          <a:extLst>
            <a:ext uri="{FF2B5EF4-FFF2-40B4-BE49-F238E27FC236}">
              <a16:creationId xmlns:a16="http://schemas.microsoft.com/office/drawing/2014/main" id="{E01F1C5C-3855-4E83-9A8E-6A561183FE06}"/>
            </a:ext>
          </a:extLst>
        </xdr:cNvPr>
        <xdr:cNvSpPr txBox="1"/>
      </xdr:nvSpPr>
      <xdr:spPr>
        <a:xfrm>
          <a:off x="1514231" y="4056185"/>
          <a:ext cx="2516554"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chemeClr val="dk1"/>
              </a:solidFill>
              <a:latin typeface="Times New Roman" panose="02020603050405020304" pitchFamily="18" charset="0"/>
              <a:ea typeface="+mn-ea"/>
              <a:cs typeface="Times New Roman" panose="02020603050405020304" pitchFamily="18" charset="0"/>
            </a:rPr>
            <a:t>Dept by HC %</a:t>
          </a:r>
        </a:p>
      </xdr:txBody>
    </xdr:sp>
    <xdr:clientData/>
  </xdr:twoCellAnchor>
  <xdr:twoCellAnchor>
    <xdr:from>
      <xdr:col>7</xdr:col>
      <xdr:colOff>43399</xdr:colOff>
      <xdr:row>23</xdr:row>
      <xdr:rowOff>175845</xdr:rowOff>
    </xdr:from>
    <xdr:to>
      <xdr:col>12</xdr:col>
      <xdr:colOff>68384</xdr:colOff>
      <xdr:row>33</xdr:row>
      <xdr:rowOff>39076</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5B2F0147-98FB-49CC-9FBA-9B0EFEE0F7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310599" y="4382085"/>
              <a:ext cx="3072985" cy="16920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269631</xdr:colOff>
      <xdr:row>21</xdr:row>
      <xdr:rowOff>154354</xdr:rowOff>
    </xdr:from>
    <xdr:to>
      <xdr:col>11</xdr:col>
      <xdr:colOff>363416</xdr:colOff>
      <xdr:row>23</xdr:row>
      <xdr:rowOff>105508</xdr:rowOff>
    </xdr:to>
    <xdr:sp macro="" textlink="">
      <xdr:nvSpPr>
        <xdr:cNvPr id="53" name="TextBox 52">
          <a:extLst>
            <a:ext uri="{FF2B5EF4-FFF2-40B4-BE49-F238E27FC236}">
              <a16:creationId xmlns:a16="http://schemas.microsoft.com/office/drawing/2014/main" id="{10B64521-B769-414E-8A9E-60246BD2C9A8}"/>
            </a:ext>
          </a:extLst>
        </xdr:cNvPr>
        <xdr:cNvSpPr txBox="1"/>
      </xdr:nvSpPr>
      <xdr:spPr>
        <a:xfrm>
          <a:off x="4509477" y="4052277"/>
          <a:ext cx="2516554"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Times New Roman" panose="02020603050405020304" pitchFamily="18" charset="0"/>
              <a:cs typeface="Times New Roman" panose="02020603050405020304" pitchFamily="18" charset="0"/>
            </a:rPr>
            <a:t>HC</a:t>
          </a:r>
          <a:r>
            <a:rPr lang="en-IN" sz="1600" b="1" baseline="0">
              <a:latin typeface="Times New Roman" panose="02020603050405020304" pitchFamily="18" charset="0"/>
              <a:cs typeface="Times New Roman" panose="02020603050405020304" pitchFamily="18" charset="0"/>
            </a:rPr>
            <a:t> Reporting</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12</xdr:col>
      <xdr:colOff>107460</xdr:colOff>
      <xdr:row>23</xdr:row>
      <xdr:rowOff>166076</xdr:rowOff>
    </xdr:from>
    <xdr:to>
      <xdr:col>15</xdr:col>
      <xdr:colOff>234460</xdr:colOff>
      <xdr:row>33</xdr:row>
      <xdr:rowOff>29307</xdr:rowOff>
    </xdr:to>
    <xdr:graphicFrame macro="">
      <xdr:nvGraphicFramePr>
        <xdr:cNvPr id="54" name="Chart 53">
          <a:extLst>
            <a:ext uri="{FF2B5EF4-FFF2-40B4-BE49-F238E27FC236}">
              <a16:creationId xmlns:a16="http://schemas.microsoft.com/office/drawing/2014/main" id="{0E574414-1870-4733-AB95-88D35774F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84017</xdr:colOff>
      <xdr:row>26</xdr:row>
      <xdr:rowOff>7814</xdr:rowOff>
    </xdr:from>
    <xdr:to>
      <xdr:col>15</xdr:col>
      <xdr:colOff>396631</xdr:colOff>
      <xdr:row>27</xdr:row>
      <xdr:rowOff>93784</xdr:rowOff>
    </xdr:to>
    <xdr:sp macro="" textlink="">
      <xdr:nvSpPr>
        <xdr:cNvPr id="55" name="TextBox 54">
          <a:extLst>
            <a:ext uri="{FF2B5EF4-FFF2-40B4-BE49-F238E27FC236}">
              <a16:creationId xmlns:a16="http://schemas.microsoft.com/office/drawing/2014/main" id="{7C0FE3D3-357C-4EFA-8393-1E52839A41BE}"/>
            </a:ext>
          </a:extLst>
        </xdr:cNvPr>
        <xdr:cNvSpPr txBox="1"/>
      </xdr:nvSpPr>
      <xdr:spPr>
        <a:xfrm>
          <a:off x="8563709" y="4833814"/>
          <a:ext cx="918307" cy="271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Times New Roman" panose="02020603050405020304" pitchFamily="18" charset="0"/>
              <a:cs typeface="Times New Roman" panose="02020603050405020304" pitchFamily="18" charset="0"/>
            </a:rPr>
            <a:t>Permanent</a:t>
          </a:r>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14</xdr:col>
      <xdr:colOff>177802</xdr:colOff>
      <xdr:row>30</xdr:row>
      <xdr:rowOff>130905</xdr:rowOff>
    </xdr:from>
    <xdr:to>
      <xdr:col>15</xdr:col>
      <xdr:colOff>263769</xdr:colOff>
      <xdr:row>32</xdr:row>
      <xdr:rowOff>29308</xdr:rowOff>
    </xdr:to>
    <xdr:sp macro="" textlink="">
      <xdr:nvSpPr>
        <xdr:cNvPr id="56" name="TextBox 55">
          <a:extLst>
            <a:ext uri="{FF2B5EF4-FFF2-40B4-BE49-F238E27FC236}">
              <a16:creationId xmlns:a16="http://schemas.microsoft.com/office/drawing/2014/main" id="{C12A05E9-6D7B-4DAF-B707-F46F9008DFB7}"/>
            </a:ext>
          </a:extLst>
        </xdr:cNvPr>
        <xdr:cNvSpPr txBox="1"/>
      </xdr:nvSpPr>
      <xdr:spPr>
        <a:xfrm>
          <a:off x="8657494" y="5699367"/>
          <a:ext cx="691660" cy="26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Times New Roman" panose="02020603050405020304" pitchFamily="18" charset="0"/>
              <a:cs typeface="Times New Roman" panose="02020603050405020304" pitchFamily="18" charset="0"/>
            </a:rPr>
            <a:t>Contract</a:t>
          </a:r>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14</xdr:col>
      <xdr:colOff>320430</xdr:colOff>
      <xdr:row>24</xdr:row>
      <xdr:rowOff>130909</xdr:rowOff>
    </xdr:from>
    <xdr:to>
      <xdr:col>15</xdr:col>
      <xdr:colOff>205152</xdr:colOff>
      <xdr:row>26</xdr:row>
      <xdr:rowOff>58614</xdr:rowOff>
    </xdr:to>
    <xdr:sp macro="" textlink="pivot!AA17">
      <xdr:nvSpPr>
        <xdr:cNvPr id="57" name="TextBox 56">
          <a:extLst>
            <a:ext uri="{FF2B5EF4-FFF2-40B4-BE49-F238E27FC236}">
              <a16:creationId xmlns:a16="http://schemas.microsoft.com/office/drawing/2014/main" id="{3C1CABE4-7539-4EF6-8658-6D42AF40D114}"/>
            </a:ext>
          </a:extLst>
        </xdr:cNvPr>
        <xdr:cNvSpPr txBox="1"/>
      </xdr:nvSpPr>
      <xdr:spPr>
        <a:xfrm>
          <a:off x="8800122" y="4585678"/>
          <a:ext cx="490415" cy="298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5BCCE8-298C-49F0-B4D9-1F0D05CEFCDD}" type="TxLink">
            <a:rPr lang="en-US" sz="1400" b="1" i="0" u="none" strike="noStrike">
              <a:solidFill>
                <a:srgbClr val="00B0F0"/>
              </a:solidFill>
              <a:latin typeface="Aptos Narrow"/>
              <a:ea typeface="+mn-ea"/>
              <a:cs typeface="Times New Roman" panose="02020603050405020304" pitchFamily="18" charset="0"/>
            </a:rPr>
            <a:pPr marL="0" indent="0"/>
            <a:t>105</a:t>
          </a:fld>
          <a:endParaRPr lang="en-IN" sz="1400" b="1" i="0" u="none" strike="noStrike">
            <a:solidFill>
              <a:srgbClr val="00B0F0"/>
            </a:solidFill>
            <a:latin typeface="Aptos Narrow"/>
            <a:ea typeface="+mn-ea"/>
            <a:cs typeface="Times New Roman" panose="02020603050405020304" pitchFamily="18" charset="0"/>
          </a:endParaRPr>
        </a:p>
      </xdr:txBody>
    </xdr:sp>
    <xdr:clientData/>
  </xdr:twoCellAnchor>
  <xdr:twoCellAnchor>
    <xdr:from>
      <xdr:col>14</xdr:col>
      <xdr:colOff>404447</xdr:colOff>
      <xdr:row>29</xdr:row>
      <xdr:rowOff>48849</xdr:rowOff>
    </xdr:from>
    <xdr:to>
      <xdr:col>15</xdr:col>
      <xdr:colOff>173892</xdr:colOff>
      <xdr:row>30</xdr:row>
      <xdr:rowOff>125047</xdr:rowOff>
    </xdr:to>
    <xdr:sp macro="" textlink="pivot!AA16">
      <xdr:nvSpPr>
        <xdr:cNvPr id="58" name="TextBox 57">
          <a:extLst>
            <a:ext uri="{FF2B5EF4-FFF2-40B4-BE49-F238E27FC236}">
              <a16:creationId xmlns:a16="http://schemas.microsoft.com/office/drawing/2014/main" id="{705820B8-30CA-4933-8417-AF4C5D00C0F5}"/>
            </a:ext>
          </a:extLst>
        </xdr:cNvPr>
        <xdr:cNvSpPr txBox="1"/>
      </xdr:nvSpPr>
      <xdr:spPr>
        <a:xfrm>
          <a:off x="8884139" y="5431695"/>
          <a:ext cx="375138" cy="261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95CAD8-F58E-4A1B-BEC9-F55164B78A2C}" type="TxLink">
            <a:rPr lang="en-US" sz="1400" b="1" i="0" u="none" strike="noStrike">
              <a:solidFill>
                <a:srgbClr val="FF0000"/>
              </a:solidFill>
              <a:latin typeface="Aptos Narrow"/>
              <a:ea typeface="+mn-ea"/>
              <a:cs typeface="Times New Roman" panose="02020603050405020304" pitchFamily="18" charset="0"/>
            </a:rPr>
            <a:pPr marL="0" indent="0"/>
            <a:t>13</a:t>
          </a:fld>
          <a:endParaRPr lang="en-IN" sz="1400" b="1" i="0" u="none" strike="noStrike">
            <a:solidFill>
              <a:srgbClr val="FF0000"/>
            </a:solidFill>
            <a:latin typeface="Aptos Narrow"/>
            <a:ea typeface="+mn-ea"/>
            <a:cs typeface="Times New Roman" panose="02020603050405020304" pitchFamily="18" charset="0"/>
          </a:endParaRPr>
        </a:p>
      </xdr:txBody>
    </xdr:sp>
    <xdr:clientData/>
  </xdr:twoCellAnchor>
  <xdr:twoCellAnchor>
    <xdr:from>
      <xdr:col>12</xdr:col>
      <xdr:colOff>97691</xdr:colOff>
      <xdr:row>22</xdr:row>
      <xdr:rowOff>3908</xdr:rowOff>
    </xdr:from>
    <xdr:to>
      <xdr:col>15</xdr:col>
      <xdr:colOff>234461</xdr:colOff>
      <xdr:row>23</xdr:row>
      <xdr:rowOff>140677</xdr:rowOff>
    </xdr:to>
    <xdr:sp macro="" textlink="">
      <xdr:nvSpPr>
        <xdr:cNvPr id="59" name="TextBox 58">
          <a:extLst>
            <a:ext uri="{FF2B5EF4-FFF2-40B4-BE49-F238E27FC236}">
              <a16:creationId xmlns:a16="http://schemas.microsoft.com/office/drawing/2014/main" id="{1D0DCA79-593F-4177-A022-0A417984EE4D}"/>
            </a:ext>
          </a:extLst>
        </xdr:cNvPr>
        <xdr:cNvSpPr txBox="1"/>
      </xdr:nvSpPr>
      <xdr:spPr>
        <a:xfrm>
          <a:off x="7365999" y="4087446"/>
          <a:ext cx="1953847"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Times New Roman" panose="02020603050405020304" pitchFamily="18" charset="0"/>
              <a:cs typeface="Times New Roman" panose="02020603050405020304" pitchFamily="18" charset="0"/>
            </a:rPr>
            <a:t>Emp</a:t>
          </a:r>
          <a:r>
            <a:rPr lang="en-IN" sz="1600" b="1" baseline="0">
              <a:latin typeface="Times New Roman" panose="02020603050405020304" pitchFamily="18" charset="0"/>
              <a:cs typeface="Times New Roman" panose="02020603050405020304" pitchFamily="18" charset="0"/>
            </a:rPr>
            <a:t> Type %</a:t>
          </a:r>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15</xdr:col>
      <xdr:colOff>322384</xdr:colOff>
      <xdr:row>23</xdr:row>
      <xdr:rowOff>156308</xdr:rowOff>
    </xdr:from>
    <xdr:to>
      <xdr:col>20</xdr:col>
      <xdr:colOff>39077</xdr:colOff>
      <xdr:row>33</xdr:row>
      <xdr:rowOff>29307</xdr:rowOff>
    </xdr:to>
    <xdr:graphicFrame macro="">
      <xdr:nvGraphicFramePr>
        <xdr:cNvPr id="60" name="Chart 59">
          <a:extLst>
            <a:ext uri="{FF2B5EF4-FFF2-40B4-BE49-F238E27FC236}">
              <a16:creationId xmlns:a16="http://schemas.microsoft.com/office/drawing/2014/main" id="{B8491ECE-9D18-4374-A27D-E6B69208A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494322</xdr:colOff>
      <xdr:row>22</xdr:row>
      <xdr:rowOff>48846</xdr:rowOff>
    </xdr:from>
    <xdr:to>
      <xdr:col>19</xdr:col>
      <xdr:colOff>25400</xdr:colOff>
      <xdr:row>24</xdr:row>
      <xdr:rowOff>0</xdr:rowOff>
    </xdr:to>
    <xdr:sp macro="" textlink="">
      <xdr:nvSpPr>
        <xdr:cNvPr id="61" name="TextBox 60">
          <a:extLst>
            <a:ext uri="{FF2B5EF4-FFF2-40B4-BE49-F238E27FC236}">
              <a16:creationId xmlns:a16="http://schemas.microsoft.com/office/drawing/2014/main" id="{7982641F-F82A-42D4-9758-01444DE46F1A}"/>
            </a:ext>
          </a:extLst>
        </xdr:cNvPr>
        <xdr:cNvSpPr txBox="1"/>
      </xdr:nvSpPr>
      <xdr:spPr>
        <a:xfrm>
          <a:off x="9579707" y="4132384"/>
          <a:ext cx="1953847"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Times New Roman" panose="02020603050405020304" pitchFamily="18" charset="0"/>
              <a:cs typeface="Times New Roman" panose="02020603050405020304" pitchFamily="18" charset="0"/>
            </a:rPr>
            <a:t>Stability</a:t>
          </a:r>
        </a:p>
      </xdr:txBody>
    </xdr:sp>
    <xdr:clientData/>
  </xdr:twoCellAnchor>
  <xdr:twoCellAnchor editAs="oneCell">
    <xdr:from>
      <xdr:col>0</xdr:col>
      <xdr:colOff>87923</xdr:colOff>
      <xdr:row>17</xdr:row>
      <xdr:rowOff>175847</xdr:rowOff>
    </xdr:from>
    <xdr:to>
      <xdr:col>2</xdr:col>
      <xdr:colOff>48846</xdr:colOff>
      <xdr:row>30</xdr:row>
      <xdr:rowOff>78153</xdr:rowOff>
    </xdr:to>
    <mc:AlternateContent xmlns:mc="http://schemas.openxmlformats.org/markup-compatibility/2006" xmlns:a14="http://schemas.microsoft.com/office/drawing/2010/main">
      <mc:Choice Requires="a14">
        <xdr:graphicFrame macro="">
          <xdr:nvGraphicFramePr>
            <xdr:cNvPr id="62" name="Reporting Manager">
              <a:extLst>
                <a:ext uri="{FF2B5EF4-FFF2-40B4-BE49-F238E27FC236}">
                  <a16:creationId xmlns:a16="http://schemas.microsoft.com/office/drawing/2014/main" id="{E1304301-92A2-4800-90E8-9FA5E88FEB82}"/>
                </a:ext>
              </a:extLst>
            </xdr:cNvPr>
            <xdr:cNvGraphicFramePr/>
          </xdr:nvGraphicFramePr>
          <xdr:xfrm>
            <a:off x="0" y="0"/>
            <a:ext cx="0" cy="0"/>
          </xdr:xfrm>
          <a:graphic>
            <a:graphicData uri="http://schemas.microsoft.com/office/drawing/2010/slicer">
              <sle:slicer xmlns:sle="http://schemas.microsoft.com/office/drawing/2010/slicer" name="Reporting Manager"/>
            </a:graphicData>
          </a:graphic>
        </xdr:graphicFrame>
      </mc:Choice>
      <mc:Fallback xmlns="">
        <xdr:sp macro="" textlink="">
          <xdr:nvSpPr>
            <xdr:cNvPr id="0" name=""/>
            <xdr:cNvSpPr>
              <a:spLocks noTextEdit="1"/>
            </xdr:cNvSpPr>
          </xdr:nvSpPr>
          <xdr:spPr>
            <a:xfrm>
              <a:off x="87923" y="3331309"/>
              <a:ext cx="1172308" cy="2315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101795</xdr:colOff>
      <xdr:row>5</xdr:row>
      <xdr:rowOff>23252</xdr:rowOff>
    </xdr:from>
    <xdr:to>
      <xdr:col>2</xdr:col>
      <xdr:colOff>58615</xdr:colOff>
      <xdr:row>17</xdr:row>
      <xdr:rowOff>156307</xdr:rowOff>
    </xdr:to>
    <mc:AlternateContent xmlns:mc="http://schemas.openxmlformats.org/markup-compatibility/2006" xmlns:a14="http://schemas.microsoft.com/office/drawing/2010/main">
      <mc:Choice Requires="a14">
        <xdr:graphicFrame macro="">
          <xdr:nvGraphicFramePr>
            <xdr:cNvPr id="63" name="Department">
              <a:extLst>
                <a:ext uri="{FF2B5EF4-FFF2-40B4-BE49-F238E27FC236}">
                  <a16:creationId xmlns:a16="http://schemas.microsoft.com/office/drawing/2014/main" id="{135D7F88-0930-42DE-A013-1A19E2ECCE8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1795" y="951329"/>
              <a:ext cx="1168205" cy="2360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48846</xdr:colOff>
      <xdr:row>4</xdr:row>
      <xdr:rowOff>117229</xdr:rowOff>
    </xdr:from>
    <xdr:to>
      <xdr:col>7</xdr:col>
      <xdr:colOff>185616</xdr:colOff>
      <xdr:row>8</xdr:row>
      <xdr:rowOff>117230</xdr:rowOff>
    </xdr:to>
    <xdr:pic>
      <xdr:nvPicPr>
        <xdr:cNvPr id="64" name="Picture 63">
          <a:extLst>
            <a:ext uri="{FF2B5EF4-FFF2-40B4-BE49-F238E27FC236}">
              <a16:creationId xmlns:a16="http://schemas.microsoft.com/office/drawing/2014/main" id="{A6D311E0-CB34-48BD-03B6-CEF24FCBC557}"/>
            </a:ext>
          </a:extLst>
        </xdr:cNvPr>
        <xdr:cNvPicPr>
          <a:picLocks noChangeAspect="1"/>
        </xdr:cNvPicPr>
      </xdr:nvPicPr>
      <xdr:blipFill>
        <a:blip xmlns:r="http://schemas.openxmlformats.org/officeDocument/2006/relationships" r:embed="rId13"/>
        <a:stretch>
          <a:fillRect/>
        </a:stretch>
      </xdr:blipFill>
      <xdr:spPr>
        <a:xfrm>
          <a:off x="3683000" y="859691"/>
          <a:ext cx="742462" cy="742462"/>
        </a:xfrm>
        <a:prstGeom prst="rect">
          <a:avLst/>
        </a:prstGeom>
      </xdr:spPr>
    </xdr:pic>
    <xdr:clientData/>
  </xdr:twoCellAnchor>
  <xdr:twoCellAnchor editAs="oneCell">
    <xdr:from>
      <xdr:col>9</xdr:col>
      <xdr:colOff>420076</xdr:colOff>
      <xdr:row>4</xdr:row>
      <xdr:rowOff>166076</xdr:rowOff>
    </xdr:from>
    <xdr:to>
      <xdr:col>10</xdr:col>
      <xdr:colOff>507999</xdr:colOff>
      <xdr:row>8</xdr:row>
      <xdr:rowOff>117230</xdr:rowOff>
    </xdr:to>
    <xdr:pic>
      <xdr:nvPicPr>
        <xdr:cNvPr id="66" name="Picture 65">
          <a:extLst>
            <a:ext uri="{FF2B5EF4-FFF2-40B4-BE49-F238E27FC236}">
              <a16:creationId xmlns:a16="http://schemas.microsoft.com/office/drawing/2014/main" id="{3227F3AE-1F6E-29AE-617C-E7892FF70B77}"/>
            </a:ext>
          </a:extLst>
        </xdr:cNvPr>
        <xdr:cNvPicPr>
          <a:picLocks noChangeAspect="1"/>
        </xdr:cNvPicPr>
      </xdr:nvPicPr>
      <xdr:blipFill>
        <a:blip xmlns:r="http://schemas.openxmlformats.org/officeDocument/2006/relationships" r:embed="rId14">
          <a:duotone>
            <a:prstClr val="black"/>
            <a:srgbClr val="FF0000">
              <a:tint val="45000"/>
              <a:satMod val="400000"/>
            </a:srgbClr>
          </a:duotone>
        </a:blip>
        <a:stretch>
          <a:fillRect/>
        </a:stretch>
      </xdr:blipFill>
      <xdr:spPr>
        <a:xfrm>
          <a:off x="5871307" y="908538"/>
          <a:ext cx="693615" cy="693615"/>
        </a:xfrm>
        <a:prstGeom prst="rect">
          <a:avLst/>
        </a:prstGeom>
        <a:noFill/>
        <a:scene3d>
          <a:camera prst="orthographicFront"/>
          <a:lightRig rig="threePt" dir="t"/>
        </a:scene3d>
        <a:sp3d contourW="12700">
          <a:contourClr>
            <a:schemeClr val="bg1"/>
          </a:contourClr>
        </a:sp3d>
      </xdr:spPr>
    </xdr:pic>
    <xdr:clientData/>
  </xdr:twoCellAnchor>
  <xdr:twoCellAnchor editAs="oneCell">
    <xdr:from>
      <xdr:col>13</xdr:col>
      <xdr:colOff>127000</xdr:colOff>
      <xdr:row>4</xdr:row>
      <xdr:rowOff>117231</xdr:rowOff>
    </xdr:from>
    <xdr:to>
      <xdr:col>14</xdr:col>
      <xdr:colOff>224694</xdr:colOff>
      <xdr:row>8</xdr:row>
      <xdr:rowOff>78156</xdr:rowOff>
    </xdr:to>
    <xdr:pic>
      <xdr:nvPicPr>
        <xdr:cNvPr id="68" name="Picture 67">
          <a:extLst>
            <a:ext uri="{FF2B5EF4-FFF2-40B4-BE49-F238E27FC236}">
              <a16:creationId xmlns:a16="http://schemas.microsoft.com/office/drawing/2014/main" id="{5B450EE7-5A46-44BD-D7F6-3391F11FBE02}"/>
            </a:ext>
          </a:extLst>
        </xdr:cNvPr>
        <xdr:cNvPicPr>
          <a:picLocks noChangeAspect="1"/>
        </xdr:cNvPicPr>
      </xdr:nvPicPr>
      <xdr:blipFill>
        <a:blip xmlns:r="http://schemas.openxmlformats.org/officeDocument/2006/relationships" r:embed="rId15"/>
        <a:stretch>
          <a:fillRect/>
        </a:stretch>
      </xdr:blipFill>
      <xdr:spPr>
        <a:xfrm>
          <a:off x="8001000" y="859693"/>
          <a:ext cx="703386" cy="703386"/>
        </a:xfrm>
        <a:prstGeom prst="rect">
          <a:avLst/>
        </a:prstGeom>
      </xdr:spPr>
    </xdr:pic>
    <xdr:clientData/>
  </xdr:twoCellAnchor>
  <xdr:twoCellAnchor editAs="oneCell">
    <xdr:from>
      <xdr:col>2</xdr:col>
      <xdr:colOff>351691</xdr:colOff>
      <xdr:row>4</xdr:row>
      <xdr:rowOff>126999</xdr:rowOff>
    </xdr:from>
    <xdr:to>
      <xdr:col>3</xdr:col>
      <xdr:colOff>488461</xdr:colOff>
      <xdr:row>8</xdr:row>
      <xdr:rowOff>127000</xdr:rowOff>
    </xdr:to>
    <xdr:pic>
      <xdr:nvPicPr>
        <xdr:cNvPr id="69" name="Picture 68">
          <a:extLst>
            <a:ext uri="{FF2B5EF4-FFF2-40B4-BE49-F238E27FC236}">
              <a16:creationId xmlns:a16="http://schemas.microsoft.com/office/drawing/2014/main" id="{0F3C3A72-966A-914A-88F2-FF7A341D57AC}"/>
            </a:ext>
          </a:extLst>
        </xdr:cNvPr>
        <xdr:cNvPicPr>
          <a:picLocks noChangeAspect="1"/>
        </xdr:cNvPicPr>
      </xdr:nvPicPr>
      <xdr:blipFill>
        <a:blip xmlns:r="http://schemas.openxmlformats.org/officeDocument/2006/relationships" r:embed="rId16"/>
        <a:stretch>
          <a:fillRect/>
        </a:stretch>
      </xdr:blipFill>
      <xdr:spPr>
        <a:xfrm>
          <a:off x="1563076" y="869461"/>
          <a:ext cx="742462" cy="742462"/>
        </a:xfrm>
        <a:prstGeom prst="rect">
          <a:avLst/>
        </a:prstGeom>
      </xdr:spPr>
    </xdr:pic>
    <xdr:clientData/>
  </xdr:twoCellAnchor>
  <xdr:twoCellAnchor editAs="oneCell">
    <xdr:from>
      <xdr:col>17</xdr:col>
      <xdr:colOff>488463</xdr:colOff>
      <xdr:row>0</xdr:row>
      <xdr:rowOff>78156</xdr:rowOff>
    </xdr:from>
    <xdr:to>
      <xdr:col>18</xdr:col>
      <xdr:colOff>449384</xdr:colOff>
      <xdr:row>3</xdr:row>
      <xdr:rowOff>87924</xdr:rowOff>
    </xdr:to>
    <xdr:pic macro="[0]!Refresh">
      <xdr:nvPicPr>
        <xdr:cNvPr id="70" name="Picture 69">
          <a:extLst>
            <a:ext uri="{FF2B5EF4-FFF2-40B4-BE49-F238E27FC236}">
              <a16:creationId xmlns:a16="http://schemas.microsoft.com/office/drawing/2014/main" id="{E04858FD-1D3C-AA2B-000C-6E5DB74788D5}"/>
            </a:ext>
          </a:extLst>
        </xdr:cNvPr>
        <xdr:cNvPicPr>
          <a:picLocks noChangeAspect="1"/>
        </xdr:cNvPicPr>
      </xdr:nvPicPr>
      <xdr:blipFill>
        <a:blip xmlns:r="http://schemas.openxmlformats.org/officeDocument/2006/relationships" r:embed="rId17">
          <a:duotone>
            <a:prstClr val="black"/>
            <a:schemeClr val="bg1">
              <a:tint val="45000"/>
              <a:satMod val="400000"/>
            </a:schemeClr>
          </a:duotone>
          <a:extLst>
            <a:ext uri="{BEBA8EAE-BF5A-486C-A8C5-ECC9F3942E4B}">
              <a14:imgProps xmlns:a14="http://schemas.microsoft.com/office/drawing/2010/main">
                <a14:imgLayer r:embed="rId18">
                  <a14:imgEffect>
                    <a14:artisticPhotocopy/>
                  </a14:imgEffect>
                </a14:imgLayer>
              </a14:imgProps>
            </a:ext>
          </a:extLst>
        </a:blip>
        <a:stretch>
          <a:fillRect/>
        </a:stretch>
      </xdr:blipFill>
      <xdr:spPr>
        <a:xfrm>
          <a:off x="10785232" y="78156"/>
          <a:ext cx="566614" cy="566614"/>
        </a:xfrm>
        <a:prstGeom prst="rect">
          <a:avLst/>
        </a:prstGeom>
        <a:scene3d>
          <a:camera prst="orthographicFront"/>
          <a:lightRig rig="threePt" dir="t"/>
        </a:scene3d>
        <a:sp3d extrusionH="76200">
          <a:extrusionClr>
            <a:schemeClr val="bg1"/>
          </a:extrusionClr>
        </a:sp3d>
      </xdr:spPr>
    </xdr:pic>
    <xdr:clientData/>
  </xdr:twoCellAnchor>
  <xdr:twoCellAnchor editAs="oneCell">
    <xdr:from>
      <xdr:col>13</xdr:col>
      <xdr:colOff>68385</xdr:colOff>
      <xdr:row>4</xdr:row>
      <xdr:rowOff>78153</xdr:rowOff>
    </xdr:from>
    <xdr:to>
      <xdr:col>14</xdr:col>
      <xdr:colOff>275391</xdr:colOff>
      <xdr:row>8</xdr:row>
      <xdr:rowOff>148390</xdr:rowOff>
    </xdr:to>
    <xdr:pic>
      <xdr:nvPicPr>
        <xdr:cNvPr id="71" name="Picture 70">
          <a:extLst>
            <a:ext uri="{FF2B5EF4-FFF2-40B4-BE49-F238E27FC236}">
              <a16:creationId xmlns:a16="http://schemas.microsoft.com/office/drawing/2014/main" id="{FA0E77AC-16B0-7534-0F02-89B08505BBD1}"/>
            </a:ext>
          </a:extLst>
        </xdr:cNvPr>
        <xdr:cNvPicPr>
          <a:picLocks noChangeAspect="1"/>
        </xdr:cNvPicPr>
      </xdr:nvPicPr>
      <xdr:blipFill>
        <a:blip xmlns:r="http://schemas.openxmlformats.org/officeDocument/2006/relationships" r:embed="rId19">
          <a:duotone>
            <a:prstClr val="black"/>
            <a:srgbClr val="FFC000">
              <a:tint val="45000"/>
              <a:satMod val="400000"/>
            </a:srgbClr>
          </a:duotone>
        </a:blip>
        <a:stretch>
          <a:fillRect/>
        </a:stretch>
      </xdr:blipFill>
      <xdr:spPr>
        <a:xfrm>
          <a:off x="7942385" y="820615"/>
          <a:ext cx="812698" cy="812698"/>
        </a:xfrm>
        <a:prstGeom prst="rect">
          <a:avLst/>
        </a:prstGeom>
      </xdr:spPr>
    </xdr:pic>
    <xdr:clientData/>
  </xdr:twoCellAnchor>
  <xdr:twoCellAnchor editAs="oneCell">
    <xdr:from>
      <xdr:col>16</xdr:col>
      <xdr:colOff>459153</xdr:colOff>
      <xdr:row>4</xdr:row>
      <xdr:rowOff>117231</xdr:rowOff>
    </xdr:from>
    <xdr:to>
      <xdr:col>17</xdr:col>
      <xdr:colOff>556845</xdr:colOff>
      <xdr:row>8</xdr:row>
      <xdr:rowOff>78154</xdr:rowOff>
    </xdr:to>
    <xdr:pic>
      <xdr:nvPicPr>
        <xdr:cNvPr id="72" name="Picture 71">
          <a:extLst>
            <a:ext uri="{FF2B5EF4-FFF2-40B4-BE49-F238E27FC236}">
              <a16:creationId xmlns:a16="http://schemas.microsoft.com/office/drawing/2014/main" id="{CC92462F-0E6B-328B-EC3D-DCFC9777E529}"/>
            </a:ext>
          </a:extLst>
        </xdr:cNvPr>
        <xdr:cNvPicPr>
          <a:picLocks noChangeAspect="1"/>
        </xdr:cNvPicPr>
      </xdr:nvPicPr>
      <xdr:blipFill>
        <a:blip xmlns:r="http://schemas.openxmlformats.org/officeDocument/2006/relationships" r:embed="rId20"/>
        <a:stretch>
          <a:fillRect/>
        </a:stretch>
      </xdr:blipFill>
      <xdr:spPr>
        <a:xfrm>
          <a:off x="10150230" y="859693"/>
          <a:ext cx="703384" cy="703384"/>
        </a:xfrm>
        <a:prstGeom prst="rect">
          <a:avLst/>
        </a:prstGeom>
      </xdr:spPr>
    </xdr:pic>
    <xdr:clientData/>
  </xdr:twoCellAnchor>
  <xdr:twoCellAnchor editAs="oneCell">
    <xdr:from>
      <xdr:col>11</xdr:col>
      <xdr:colOff>527539</xdr:colOff>
      <xdr:row>15</xdr:row>
      <xdr:rowOff>156307</xdr:rowOff>
    </xdr:from>
    <xdr:to>
      <xdr:col>12</xdr:col>
      <xdr:colOff>381000</xdr:colOff>
      <xdr:row>18</xdr:row>
      <xdr:rowOff>136690</xdr:rowOff>
    </xdr:to>
    <xdr:pic>
      <xdr:nvPicPr>
        <xdr:cNvPr id="76" name="Picture 75">
          <a:extLst>
            <a:ext uri="{FF2B5EF4-FFF2-40B4-BE49-F238E27FC236}">
              <a16:creationId xmlns:a16="http://schemas.microsoft.com/office/drawing/2014/main" id="{E9F286B2-FF4E-D423-CBCC-38F0FFAF851F}"/>
            </a:ext>
          </a:extLst>
        </xdr:cNvPr>
        <xdr:cNvPicPr>
          <a:picLocks noChangeAspect="1"/>
        </xdr:cNvPicPr>
      </xdr:nvPicPr>
      <xdr:blipFill>
        <a:blip xmlns:r="http://schemas.openxmlformats.org/officeDocument/2006/relationships" r:embed="rId21">
          <a:extLst>
            <a:ext uri="{BEBA8EAE-BF5A-486C-A8C5-ECC9F3942E4B}">
              <a14:imgProps xmlns:a14="http://schemas.microsoft.com/office/drawing/2010/main">
                <a14:imgLayer r:embed="rId22">
                  <a14:imgEffect>
                    <a14:colorTemperature colorTemp="11200"/>
                  </a14:imgEffect>
                  <a14:imgEffect>
                    <a14:saturation sat="400000"/>
                  </a14:imgEffect>
                </a14:imgLayer>
              </a14:imgProps>
            </a:ext>
          </a:extLst>
        </a:blip>
        <a:stretch>
          <a:fillRect/>
        </a:stretch>
      </xdr:blipFill>
      <xdr:spPr>
        <a:xfrm>
          <a:off x="7190154" y="2940538"/>
          <a:ext cx="459154" cy="537229"/>
        </a:xfrm>
        <a:prstGeom prst="rect">
          <a:avLst/>
        </a:prstGeom>
      </xdr:spPr>
    </xdr:pic>
    <xdr:clientData/>
  </xdr:twoCellAnchor>
  <xdr:twoCellAnchor editAs="oneCell">
    <xdr:from>
      <xdr:col>11</xdr:col>
      <xdr:colOff>508001</xdr:colOff>
      <xdr:row>11</xdr:row>
      <xdr:rowOff>136771</xdr:rowOff>
    </xdr:from>
    <xdr:to>
      <xdr:col>12</xdr:col>
      <xdr:colOff>459154</xdr:colOff>
      <xdr:row>14</xdr:row>
      <xdr:rowOff>136771</xdr:rowOff>
    </xdr:to>
    <xdr:pic>
      <xdr:nvPicPr>
        <xdr:cNvPr id="77" name="Picture 76">
          <a:extLst>
            <a:ext uri="{FF2B5EF4-FFF2-40B4-BE49-F238E27FC236}">
              <a16:creationId xmlns:a16="http://schemas.microsoft.com/office/drawing/2014/main" id="{4A49FA54-6A30-611D-C4F8-D6109C48E9F6}"/>
            </a:ext>
          </a:extLst>
        </xdr:cNvPr>
        <xdr:cNvPicPr>
          <a:picLocks noChangeAspect="1"/>
        </xdr:cNvPicPr>
      </xdr:nvPicPr>
      <xdr:blipFill>
        <a:blip xmlns:r="http://schemas.openxmlformats.org/officeDocument/2006/relationships" r:embed="rId23"/>
        <a:stretch>
          <a:fillRect/>
        </a:stretch>
      </xdr:blipFill>
      <xdr:spPr>
        <a:xfrm>
          <a:off x="7170616" y="2178540"/>
          <a:ext cx="556846" cy="556846"/>
        </a:xfrm>
        <a:prstGeom prst="rect">
          <a:avLst/>
        </a:prstGeom>
      </xdr:spPr>
    </xdr:pic>
    <xdr:clientData/>
  </xdr:twoCellAnchor>
  <xdr:twoCellAnchor editAs="oneCell">
    <xdr:from>
      <xdr:col>14</xdr:col>
      <xdr:colOff>29308</xdr:colOff>
      <xdr:row>28</xdr:row>
      <xdr:rowOff>68386</xdr:rowOff>
    </xdr:from>
    <xdr:to>
      <xdr:col>14</xdr:col>
      <xdr:colOff>508000</xdr:colOff>
      <xdr:row>30</xdr:row>
      <xdr:rowOff>175847</xdr:rowOff>
    </xdr:to>
    <xdr:pic>
      <xdr:nvPicPr>
        <xdr:cNvPr id="78" name="Picture 77">
          <a:extLst>
            <a:ext uri="{FF2B5EF4-FFF2-40B4-BE49-F238E27FC236}">
              <a16:creationId xmlns:a16="http://schemas.microsoft.com/office/drawing/2014/main" id="{F860EDEA-8D7D-1615-5DA8-D7DCD78B32D8}"/>
            </a:ext>
          </a:extLst>
        </xdr:cNvPr>
        <xdr:cNvPicPr>
          <a:picLocks noChangeAspect="1"/>
        </xdr:cNvPicPr>
      </xdr:nvPicPr>
      <xdr:blipFill>
        <a:blip xmlns:r="http://schemas.openxmlformats.org/officeDocument/2006/relationships" r:embed="rId24"/>
        <a:stretch>
          <a:fillRect/>
        </a:stretch>
      </xdr:blipFill>
      <xdr:spPr>
        <a:xfrm>
          <a:off x="8509000" y="5265617"/>
          <a:ext cx="478692" cy="478692"/>
        </a:xfrm>
        <a:prstGeom prst="rect">
          <a:avLst/>
        </a:prstGeom>
      </xdr:spPr>
    </xdr:pic>
    <xdr:clientData/>
  </xdr:twoCellAnchor>
  <xdr:twoCellAnchor editAs="oneCell">
    <xdr:from>
      <xdr:col>14</xdr:col>
      <xdr:colOff>19538</xdr:colOff>
      <xdr:row>23</xdr:row>
      <xdr:rowOff>156307</xdr:rowOff>
    </xdr:from>
    <xdr:to>
      <xdr:col>14</xdr:col>
      <xdr:colOff>439615</xdr:colOff>
      <xdr:row>26</xdr:row>
      <xdr:rowOff>19538</xdr:rowOff>
    </xdr:to>
    <xdr:pic>
      <xdr:nvPicPr>
        <xdr:cNvPr id="79" name="Picture 78">
          <a:extLst>
            <a:ext uri="{FF2B5EF4-FFF2-40B4-BE49-F238E27FC236}">
              <a16:creationId xmlns:a16="http://schemas.microsoft.com/office/drawing/2014/main" id="{ACE5BEF0-6C94-A124-6561-CB173B63C907}"/>
            </a:ext>
          </a:extLst>
        </xdr:cNvPr>
        <xdr:cNvPicPr>
          <a:picLocks noChangeAspect="1"/>
        </xdr:cNvPicPr>
      </xdr:nvPicPr>
      <xdr:blipFill>
        <a:blip xmlns:r="http://schemas.openxmlformats.org/officeDocument/2006/relationships" r:embed="rId25"/>
        <a:stretch>
          <a:fillRect/>
        </a:stretch>
      </xdr:blipFill>
      <xdr:spPr>
        <a:xfrm>
          <a:off x="8499230" y="4425461"/>
          <a:ext cx="420077" cy="420077"/>
        </a:xfrm>
        <a:prstGeom prst="rect">
          <a:avLst/>
        </a:prstGeom>
      </xdr:spPr>
    </xdr:pic>
    <xdr:clientData/>
  </xdr:twoCellAnchor>
  <xdr:twoCellAnchor>
    <xdr:from>
      <xdr:col>0</xdr:col>
      <xdr:colOff>97693</xdr:colOff>
      <xdr:row>2</xdr:row>
      <xdr:rowOff>181708</xdr:rowOff>
    </xdr:from>
    <xdr:to>
      <xdr:col>2</xdr:col>
      <xdr:colOff>127000</xdr:colOff>
      <xdr:row>4</xdr:row>
      <xdr:rowOff>127000</xdr:rowOff>
    </xdr:to>
    <xdr:sp macro="" textlink="">
      <xdr:nvSpPr>
        <xdr:cNvPr id="81" name="TextBox 80">
          <a:extLst>
            <a:ext uri="{FF2B5EF4-FFF2-40B4-BE49-F238E27FC236}">
              <a16:creationId xmlns:a16="http://schemas.microsoft.com/office/drawing/2014/main" id="{F5FB06D7-6740-4A9B-A59A-2655A3815D5B}"/>
            </a:ext>
          </a:extLst>
        </xdr:cNvPr>
        <xdr:cNvSpPr txBox="1"/>
      </xdr:nvSpPr>
      <xdr:spPr>
        <a:xfrm>
          <a:off x="97693" y="552939"/>
          <a:ext cx="1240692"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bg1"/>
              </a:solidFill>
              <a:latin typeface="Times New Roman" panose="02020603050405020304" pitchFamily="18" charset="0"/>
              <a:cs typeface="Times New Roman" panose="02020603050405020304" pitchFamily="18" charset="0"/>
            </a:rPr>
            <a:t>CONSULTANTCY</a:t>
          </a:r>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iya m" refreshedDate="46085.915400231483" createdVersion="8" refreshedVersion="8" minRefreshableVersion="3" recordCount="171" xr:uid="{CA08B997-09C8-4FBA-A6E8-D48677B90F5F}">
  <cacheSource type="worksheet">
    <worksheetSource name="Table2"/>
  </cacheSource>
  <cacheFields count="16">
    <cacheField name="Emp Status" numFmtId="0">
      <sharedItems count="3">
        <s v="On-Board"/>
        <s v="Attrition"/>
        <s v="Transfer"/>
      </sharedItems>
    </cacheField>
    <cacheField name="Movement" numFmtId="0">
      <sharedItems containsBlank="1"/>
    </cacheField>
    <cacheField name="Emp Id" numFmtId="0">
      <sharedItems containsMixedTypes="1" containsNumber="1" containsInteger="1" minValue="100957" maxValue="198396"/>
    </cacheField>
    <cacheField name="Name" numFmtId="0">
      <sharedItems/>
    </cacheField>
    <cacheField name="Date of Joining" numFmtId="164">
      <sharedItems containsSemiMixedTypes="0" containsNonDate="0" containsDate="1" containsString="0" minDate="2020-02-06T00:00:00" maxDate="2025-07-20T00:00:00"/>
    </cacheField>
    <cacheField name="Data of Relieving" numFmtId="164">
      <sharedItems containsNonDate="0" containsDate="1" containsString="0" containsBlank="1" minDate="2020-12-18T00:00:00" maxDate="2024-09-30T00:00:00"/>
    </cacheField>
    <cacheField name="Reporting Manager" numFmtId="0">
      <sharedItems count="7">
        <s v="Roberta Moyer"/>
        <s v="Ryan Simmons"/>
        <s v="Darryl Leon"/>
        <s v="Geneva Hardy"/>
        <s v="Janelle Wiley"/>
        <s v="Alejandra Mack"/>
        <s v="Jefferson Perry"/>
      </sharedItems>
    </cacheField>
    <cacheField name="Emp Type" numFmtId="0">
      <sharedItems count="2">
        <s v="Contract"/>
        <s v="Permanent"/>
      </sharedItems>
    </cacheField>
    <cacheField name="Category" numFmtId="0">
      <sharedItems count="2">
        <s v="Male"/>
        <s v="Female"/>
      </sharedItems>
    </cacheField>
    <cacheField name="Date of Birth" numFmtId="165">
      <sharedItems containsSemiMixedTypes="0" containsNonDate="0" containsDate="1" containsString="0" minDate="1982-01-03T00:00:00" maxDate="2023-08-07T00:00:00"/>
    </cacheField>
    <cacheField name="Marital status" numFmtId="165">
      <sharedItems/>
    </cacheField>
    <cacheField name="Grade" numFmtId="0">
      <sharedItems count="4">
        <s v="Contract"/>
        <s v="Trainees"/>
        <s v="Management"/>
        <s v="Professional"/>
      </sharedItems>
    </cacheField>
    <cacheField name="Department" numFmtId="0">
      <sharedItems count="7">
        <s v="Operations"/>
        <s v="Accounting"/>
        <s v="Legal"/>
        <s v="Marketing"/>
        <s v="Finance"/>
        <s v="HR"/>
        <s v="Sales"/>
      </sharedItems>
    </cacheField>
    <cacheField name="Total Experience" numFmtId="0">
      <sharedItems containsSemiMixedTypes="0" containsString="0" containsNumber="1" minValue="0" maxValue="19"/>
    </cacheField>
    <cacheField name="Year" numFmtId="0">
      <sharedItems containsSemiMixedTypes="0" containsString="0" containsNumber="1" containsInteger="1" minValue="2020" maxValue="2025" count="6">
        <n v="2020"/>
        <n v="2021"/>
        <n v="2022"/>
        <n v="2023"/>
        <n v="2024"/>
        <n v="2025"/>
      </sharedItems>
    </cacheField>
    <cacheField name="Stability" numFmtId="0">
      <sharedItems count="6">
        <s v="5+ years"/>
        <s v="4+ years"/>
        <s v="3+ years"/>
        <s v="2+ years"/>
        <s v="1+ years"/>
        <s v="&lt;1 year"/>
      </sharedItems>
    </cacheField>
  </cacheFields>
  <extLst>
    <ext xmlns:x14="http://schemas.microsoft.com/office/spreadsheetml/2009/9/main" uri="{725AE2AE-9491-48be-B2B4-4EB974FC3084}">
      <x14:pivotCacheDefinition pivotCacheId="1721292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x v="0"/>
    <s v="IJP"/>
    <s v="CT18807"/>
    <s v="Adrian Odonnell"/>
    <d v="2020-04-29T00:00:00"/>
    <m/>
    <x v="0"/>
    <x v="0"/>
    <x v="0"/>
    <d v="2021-07-13T00:00:00"/>
    <s v="Single"/>
    <x v="0"/>
    <x v="0"/>
    <n v="0"/>
    <x v="0"/>
    <x v="0"/>
  </r>
  <r>
    <x v="1"/>
    <m/>
    <s v="CT12674"/>
    <s v="Marina Velazquez"/>
    <d v="2020-09-01T00:00:00"/>
    <d v="2020-12-18T00:00:00"/>
    <x v="0"/>
    <x v="0"/>
    <x v="0"/>
    <d v="2021-10-03T00:00:00"/>
    <s v="Married"/>
    <x v="1"/>
    <x v="1"/>
    <n v="6.5"/>
    <x v="0"/>
    <x v="0"/>
  </r>
  <r>
    <x v="0"/>
    <m/>
    <s v="CT11735"/>
    <s v="Regina Schaefer"/>
    <d v="2021-01-01T00:00:00"/>
    <m/>
    <x v="0"/>
    <x v="0"/>
    <x v="0"/>
    <d v="2021-02-09T00:00:00"/>
    <s v="Single"/>
    <x v="0"/>
    <x v="0"/>
    <n v="4.8"/>
    <x v="1"/>
    <x v="0"/>
  </r>
  <r>
    <x v="0"/>
    <m/>
    <s v="CT10131"/>
    <s v="Donna Sparks"/>
    <d v="2021-02-09T00:00:00"/>
    <m/>
    <x v="0"/>
    <x v="0"/>
    <x v="0"/>
    <d v="2021-03-14T00:00:00"/>
    <s v="Single"/>
    <x v="0"/>
    <x v="2"/>
    <n v="14"/>
    <x v="1"/>
    <x v="0"/>
  </r>
  <r>
    <x v="1"/>
    <m/>
    <s v="CT16953"/>
    <s v="Sal Glass"/>
    <d v="2021-09-30T00:00:00"/>
    <d v="2022-09-30T00:00:00"/>
    <x v="1"/>
    <x v="0"/>
    <x v="1"/>
    <d v="2021-04-11T00:00:00"/>
    <s v="Single"/>
    <x v="0"/>
    <x v="3"/>
    <n v="0"/>
    <x v="1"/>
    <x v="1"/>
  </r>
  <r>
    <x v="1"/>
    <m/>
    <s v="CT11213"/>
    <s v="Malik Schneider"/>
    <d v="2022-04-04T00:00:00"/>
    <d v="2022-07-16T00:00:00"/>
    <x v="2"/>
    <x v="0"/>
    <x v="0"/>
    <d v="2021-08-23T00:00:00"/>
    <s v="Single"/>
    <x v="0"/>
    <x v="4"/>
    <n v="2"/>
    <x v="2"/>
    <x v="2"/>
  </r>
  <r>
    <x v="1"/>
    <m/>
    <s v="CT17933"/>
    <s v="Fanny Hampton"/>
    <d v="2022-06-03T00:00:00"/>
    <d v="2023-01-25T00:00:00"/>
    <x v="1"/>
    <x v="0"/>
    <x v="0"/>
    <d v="2021-01-30T00:00:00"/>
    <s v="Single"/>
    <x v="0"/>
    <x v="3"/>
    <n v="2.8"/>
    <x v="2"/>
    <x v="2"/>
  </r>
  <r>
    <x v="1"/>
    <m/>
    <s v="CT17253"/>
    <s v="Edison York"/>
    <d v="2022-06-09T00:00:00"/>
    <d v="2023-08-11T00:00:00"/>
    <x v="1"/>
    <x v="0"/>
    <x v="0"/>
    <d v="2021-10-28T00:00:00"/>
    <s v="Single"/>
    <x v="0"/>
    <x v="5"/>
    <n v="0"/>
    <x v="2"/>
    <x v="2"/>
  </r>
  <r>
    <x v="1"/>
    <m/>
    <s v="CT14693"/>
    <s v="Geraldo Pugh"/>
    <d v="2022-07-07T00:00:00"/>
    <d v="2023-08-30T00:00:00"/>
    <x v="3"/>
    <x v="0"/>
    <x v="0"/>
    <d v="2021-12-26T00:00:00"/>
    <s v="Single"/>
    <x v="0"/>
    <x v="5"/>
    <n v="3"/>
    <x v="2"/>
    <x v="2"/>
  </r>
  <r>
    <x v="1"/>
    <m/>
    <s v="CT11465"/>
    <s v="Ellis Best"/>
    <d v="2022-08-04T00:00:00"/>
    <d v="2023-05-13T00:00:00"/>
    <x v="1"/>
    <x v="0"/>
    <x v="0"/>
    <d v="2021-04-07T00:00:00"/>
    <s v="Single"/>
    <x v="0"/>
    <x v="2"/>
    <n v="5.9"/>
    <x v="2"/>
    <x v="2"/>
  </r>
  <r>
    <x v="0"/>
    <m/>
    <s v="CT12948"/>
    <s v="Olen Walter"/>
    <d v="2022-09-01T00:00:00"/>
    <m/>
    <x v="4"/>
    <x v="0"/>
    <x v="0"/>
    <d v="2021-10-18T00:00:00"/>
    <s v="Married"/>
    <x v="0"/>
    <x v="4"/>
    <n v="10"/>
    <x v="2"/>
    <x v="2"/>
  </r>
  <r>
    <x v="1"/>
    <m/>
    <s v="CT11145"/>
    <s v="Mckinley Baird"/>
    <d v="2022-09-08T00:00:00"/>
    <d v="2023-12-30T00:00:00"/>
    <x v="4"/>
    <x v="0"/>
    <x v="1"/>
    <d v="2021-04-26T00:00:00"/>
    <s v="Single"/>
    <x v="0"/>
    <x v="3"/>
    <n v="1"/>
    <x v="2"/>
    <x v="2"/>
  </r>
  <r>
    <x v="0"/>
    <m/>
    <s v="CT18269"/>
    <s v="Maura Huynh"/>
    <d v="2022-11-08T00:00:00"/>
    <m/>
    <x v="4"/>
    <x v="0"/>
    <x v="0"/>
    <d v="2021-10-27T00:00:00"/>
    <s v="Married"/>
    <x v="0"/>
    <x v="6"/>
    <n v="10"/>
    <x v="2"/>
    <x v="2"/>
  </r>
  <r>
    <x v="1"/>
    <m/>
    <s v="CT13931"/>
    <s v="Buster Joyce"/>
    <d v="2023-01-21T00:00:00"/>
    <d v="2023-11-21T00:00:00"/>
    <x v="5"/>
    <x v="0"/>
    <x v="0"/>
    <d v="2021-09-06T00:00:00"/>
    <s v="Single"/>
    <x v="0"/>
    <x v="3"/>
    <n v="0"/>
    <x v="3"/>
    <x v="2"/>
  </r>
  <r>
    <x v="1"/>
    <m/>
    <s v="CT15252"/>
    <s v="Rosanna Bauer"/>
    <d v="2023-06-06T00:00:00"/>
    <d v="2024-05-03T00:00:00"/>
    <x v="5"/>
    <x v="0"/>
    <x v="1"/>
    <d v="2022-02-28T00:00:00"/>
    <s v="Single"/>
    <x v="0"/>
    <x v="5"/>
    <n v="0.1"/>
    <x v="3"/>
    <x v="3"/>
  </r>
  <r>
    <x v="0"/>
    <m/>
    <s v="CT13664"/>
    <s v="Marion Harmon"/>
    <d v="2023-10-19T00:00:00"/>
    <m/>
    <x v="5"/>
    <x v="0"/>
    <x v="1"/>
    <d v="2022-09-26T00:00:00"/>
    <s v="Single"/>
    <x v="0"/>
    <x v="5"/>
    <n v="0"/>
    <x v="3"/>
    <x v="3"/>
  </r>
  <r>
    <x v="0"/>
    <m/>
    <s v="CT10043"/>
    <s v="Shawn Ross"/>
    <d v="2023-12-14T00:00:00"/>
    <m/>
    <x v="5"/>
    <x v="0"/>
    <x v="1"/>
    <d v="2022-11-12T00:00:00"/>
    <s v="Single"/>
    <x v="0"/>
    <x v="2"/>
    <n v="4"/>
    <x v="3"/>
    <x v="3"/>
  </r>
  <r>
    <x v="0"/>
    <m/>
    <s v="CT16547"/>
    <s v="Houston Wilson"/>
    <d v="2024-02-06T00:00:00"/>
    <m/>
    <x v="0"/>
    <x v="0"/>
    <x v="0"/>
    <d v="2021-12-28T00:00:00"/>
    <s v="Single"/>
    <x v="0"/>
    <x v="5"/>
    <n v="0"/>
    <x v="4"/>
    <x v="3"/>
  </r>
  <r>
    <x v="0"/>
    <m/>
    <s v="CT11188"/>
    <s v="Maricela Gates"/>
    <d v="2024-03-27T00:00:00"/>
    <m/>
    <x v="5"/>
    <x v="0"/>
    <x v="0"/>
    <d v="2003-03-06T00:00:00"/>
    <s v="Married"/>
    <x v="0"/>
    <x v="3"/>
    <n v="10"/>
    <x v="4"/>
    <x v="4"/>
  </r>
  <r>
    <x v="0"/>
    <m/>
    <s v="CT14537"/>
    <s v="Fletcher Tate"/>
    <d v="2024-06-01T00:00:00"/>
    <m/>
    <x v="5"/>
    <x v="0"/>
    <x v="1"/>
    <d v="2022-12-03T00:00:00"/>
    <s v="Married"/>
    <x v="0"/>
    <x v="2"/>
    <n v="4"/>
    <x v="4"/>
    <x v="4"/>
  </r>
  <r>
    <x v="0"/>
    <m/>
    <s v="CT14690"/>
    <s v="Emily Davis"/>
    <d v="2025-01-05T00:00:00"/>
    <m/>
    <x v="6"/>
    <x v="0"/>
    <x v="1"/>
    <d v="2021-05-22T00:00:00"/>
    <s v="Married"/>
    <x v="0"/>
    <x v="4"/>
    <n v="4.8"/>
    <x v="5"/>
    <x v="4"/>
  </r>
  <r>
    <x v="0"/>
    <m/>
    <s v="CT16195"/>
    <s v="Penelope Jordan"/>
    <d v="2025-01-14T00:00:00"/>
    <m/>
    <x v="6"/>
    <x v="0"/>
    <x v="0"/>
    <d v="2021-02-09T00:00:00"/>
    <s v="Single"/>
    <x v="0"/>
    <x v="0"/>
    <n v="9"/>
    <x v="5"/>
    <x v="4"/>
  </r>
  <r>
    <x v="0"/>
    <m/>
    <s v="CT16735"/>
    <s v="Alfredo Mcclain"/>
    <d v="2025-04-28T00:00:00"/>
    <m/>
    <x v="1"/>
    <x v="0"/>
    <x v="0"/>
    <d v="2021-12-06T00:00:00"/>
    <s v="Married"/>
    <x v="0"/>
    <x v="3"/>
    <n v="8"/>
    <x v="5"/>
    <x v="5"/>
  </r>
  <r>
    <x v="0"/>
    <s v="IJP"/>
    <n v="107224"/>
    <s v="Preston Case"/>
    <d v="2020-02-06T00:00:00"/>
    <m/>
    <x v="0"/>
    <x v="1"/>
    <x v="0"/>
    <d v="2021-08-25T00:00:00"/>
    <s v="Single"/>
    <x v="1"/>
    <x v="0"/>
    <n v="13"/>
    <x v="0"/>
    <x v="0"/>
  </r>
  <r>
    <x v="1"/>
    <s v="IJP"/>
    <n v="148467"/>
    <s v="Branden Kaiser"/>
    <d v="2020-02-08T00:00:00"/>
    <d v="2024-06-30T00:00:00"/>
    <x v="6"/>
    <x v="1"/>
    <x v="1"/>
    <d v="2021-10-25T00:00:00"/>
    <s v="Single"/>
    <x v="1"/>
    <x v="1"/>
    <n v="5"/>
    <x v="0"/>
    <x v="0"/>
  </r>
  <r>
    <x v="1"/>
    <m/>
    <n v="114416"/>
    <s v="Julia Bell"/>
    <d v="2020-02-13T00:00:00"/>
    <d v="2024-01-09T00:00:00"/>
    <x v="5"/>
    <x v="1"/>
    <x v="0"/>
    <d v="2021-11-24T00:00:00"/>
    <s v="Married"/>
    <x v="2"/>
    <x v="4"/>
    <n v="8"/>
    <x v="0"/>
    <x v="0"/>
  </r>
  <r>
    <x v="0"/>
    <m/>
    <n v="189095"/>
    <s v="Sammy Hancock"/>
    <d v="2020-02-26T00:00:00"/>
    <m/>
    <x v="5"/>
    <x v="1"/>
    <x v="0"/>
    <d v="2021-11-04T00:00:00"/>
    <s v="Single"/>
    <x v="2"/>
    <x v="0"/>
    <n v="17"/>
    <x v="0"/>
    <x v="0"/>
  </r>
  <r>
    <x v="1"/>
    <m/>
    <n v="123874"/>
    <s v="Mabel Cuevas"/>
    <d v="2020-03-11T00:00:00"/>
    <d v="2021-12-30T00:00:00"/>
    <x v="5"/>
    <x v="1"/>
    <x v="0"/>
    <d v="2021-12-28T00:00:00"/>
    <s v="Married"/>
    <x v="1"/>
    <x v="1"/>
    <n v="14"/>
    <x v="0"/>
    <x v="0"/>
  </r>
  <r>
    <x v="0"/>
    <s v="IJP"/>
    <n v="147637"/>
    <s v="Janelle Wiley"/>
    <d v="2020-03-26T00:00:00"/>
    <m/>
    <x v="0"/>
    <x v="1"/>
    <x v="0"/>
    <d v="2021-04-28T00:00:00"/>
    <s v="Single"/>
    <x v="1"/>
    <x v="4"/>
    <n v="14"/>
    <x v="0"/>
    <x v="0"/>
  </r>
  <r>
    <x v="0"/>
    <s v="IJP"/>
    <n v="183900"/>
    <s v="Norris Madden"/>
    <d v="2020-04-29T00:00:00"/>
    <m/>
    <x v="5"/>
    <x v="1"/>
    <x v="0"/>
    <d v="2021-04-23T00:00:00"/>
    <s v="Single"/>
    <x v="2"/>
    <x v="1"/>
    <n v="13"/>
    <x v="0"/>
    <x v="0"/>
  </r>
  <r>
    <x v="0"/>
    <m/>
    <n v="110700"/>
    <s v="Vincenzo Mcdowell"/>
    <d v="2020-05-20T00:00:00"/>
    <m/>
    <x v="5"/>
    <x v="1"/>
    <x v="0"/>
    <d v="2021-04-21T00:00:00"/>
    <s v="Single"/>
    <x v="2"/>
    <x v="4"/>
    <n v="13"/>
    <x v="0"/>
    <x v="0"/>
  </r>
  <r>
    <x v="0"/>
    <s v="IJP"/>
    <n v="188035"/>
    <s v="Chris Mcbride"/>
    <d v="2020-06-12T00:00:00"/>
    <m/>
    <x v="4"/>
    <x v="1"/>
    <x v="0"/>
    <d v="2022-08-08T00:00:00"/>
    <s v="Single"/>
    <x v="1"/>
    <x v="0"/>
    <n v="7"/>
    <x v="0"/>
    <x v="0"/>
  </r>
  <r>
    <x v="0"/>
    <m/>
    <n v="131049"/>
    <s v="Wesley Berger"/>
    <d v="2020-06-18T00:00:00"/>
    <m/>
    <x v="5"/>
    <x v="1"/>
    <x v="0"/>
    <d v="2021-12-31T00:00:00"/>
    <s v="Single"/>
    <x v="2"/>
    <x v="0"/>
    <n v="13"/>
    <x v="0"/>
    <x v="0"/>
  </r>
  <r>
    <x v="1"/>
    <m/>
    <n v="180582"/>
    <s v="Bart Sims"/>
    <d v="2020-06-26T00:00:00"/>
    <d v="2021-06-30T00:00:00"/>
    <x v="4"/>
    <x v="1"/>
    <x v="1"/>
    <d v="2021-05-27T00:00:00"/>
    <s v="Single"/>
    <x v="3"/>
    <x v="1"/>
    <n v="0"/>
    <x v="0"/>
    <x v="0"/>
  </r>
  <r>
    <x v="0"/>
    <m/>
    <n v="126718"/>
    <s v="Tricia Arroyo"/>
    <d v="2020-07-08T00:00:00"/>
    <m/>
    <x v="5"/>
    <x v="1"/>
    <x v="0"/>
    <d v="2021-10-03T00:00:00"/>
    <s v="Single"/>
    <x v="1"/>
    <x v="1"/>
    <n v="6.5"/>
    <x v="0"/>
    <x v="0"/>
  </r>
  <r>
    <x v="0"/>
    <m/>
    <n v="192425"/>
    <s v="Kennith Barber"/>
    <d v="2020-07-24T00:00:00"/>
    <m/>
    <x v="0"/>
    <x v="1"/>
    <x v="0"/>
    <d v="2021-05-22T00:00:00"/>
    <s v="Single"/>
    <x v="1"/>
    <x v="4"/>
    <n v="8"/>
    <x v="0"/>
    <x v="0"/>
  </r>
  <r>
    <x v="0"/>
    <m/>
    <n v="174008"/>
    <s v="Alonzo Harrison"/>
    <d v="2020-07-31T00:00:00"/>
    <m/>
    <x v="4"/>
    <x v="1"/>
    <x v="1"/>
    <d v="2021-12-10T00:00:00"/>
    <s v="Single"/>
    <x v="1"/>
    <x v="1"/>
    <n v="12"/>
    <x v="0"/>
    <x v="0"/>
  </r>
  <r>
    <x v="1"/>
    <m/>
    <n v="129735"/>
    <s v="Ryan Simmons"/>
    <d v="2020-08-14T00:00:00"/>
    <d v="2022-06-29T00:00:00"/>
    <x v="5"/>
    <x v="1"/>
    <x v="0"/>
    <d v="2021-01-15T00:00:00"/>
    <s v="Single"/>
    <x v="1"/>
    <x v="0"/>
    <n v="5"/>
    <x v="0"/>
    <x v="0"/>
  </r>
  <r>
    <x v="1"/>
    <m/>
    <n v="117328"/>
    <s v="Kirk Wagner"/>
    <d v="2020-08-26T00:00:00"/>
    <d v="2022-04-30T00:00:00"/>
    <x v="5"/>
    <x v="1"/>
    <x v="0"/>
    <d v="2021-02-09T00:00:00"/>
    <s v="Married"/>
    <x v="1"/>
    <x v="0"/>
    <n v="4.8"/>
    <x v="0"/>
    <x v="0"/>
  </r>
  <r>
    <x v="0"/>
    <m/>
    <n v="110646"/>
    <s v="Zackary Tucker"/>
    <d v="2020-09-01T00:00:00"/>
    <m/>
    <x v="3"/>
    <x v="1"/>
    <x v="0"/>
    <d v="2021-01-20T00:00:00"/>
    <s v="Married"/>
    <x v="1"/>
    <x v="4"/>
    <n v="9"/>
    <x v="0"/>
    <x v="0"/>
  </r>
  <r>
    <x v="0"/>
    <m/>
    <n v="114446"/>
    <s v="Roberto Ford"/>
    <d v="2020-09-01T00:00:00"/>
    <m/>
    <x v="6"/>
    <x v="1"/>
    <x v="0"/>
    <d v="2021-11-24T00:00:00"/>
    <s v="Married"/>
    <x v="2"/>
    <x v="4"/>
    <n v="8"/>
    <x v="0"/>
    <x v="0"/>
  </r>
  <r>
    <x v="0"/>
    <m/>
    <n v="189125"/>
    <s v="Sadie Mcmahon"/>
    <d v="2020-09-01T00:00:00"/>
    <m/>
    <x v="1"/>
    <x v="1"/>
    <x v="0"/>
    <d v="2021-11-04T00:00:00"/>
    <s v="Married"/>
    <x v="2"/>
    <x v="0"/>
    <n v="17"/>
    <x v="0"/>
    <x v="0"/>
  </r>
  <r>
    <x v="0"/>
    <s v="IJP"/>
    <n v="183930"/>
    <s v="Darla Parks"/>
    <d v="2020-09-01T00:00:00"/>
    <m/>
    <x v="1"/>
    <x v="1"/>
    <x v="0"/>
    <d v="2021-04-23T00:00:00"/>
    <s v="Married"/>
    <x v="2"/>
    <x v="1"/>
    <n v="13"/>
    <x v="0"/>
    <x v="0"/>
  </r>
  <r>
    <x v="0"/>
    <m/>
    <n v="110730"/>
    <s v="Darryl Leon"/>
    <d v="2020-09-01T00:00:00"/>
    <m/>
    <x v="2"/>
    <x v="1"/>
    <x v="0"/>
    <d v="2021-04-21T00:00:00"/>
    <s v="Single"/>
    <x v="2"/>
    <x v="4"/>
    <n v="13"/>
    <x v="0"/>
    <x v="0"/>
  </r>
  <r>
    <x v="0"/>
    <m/>
    <n v="131079"/>
    <s v="Letitia Church"/>
    <d v="2020-09-01T00:00:00"/>
    <m/>
    <x v="0"/>
    <x v="1"/>
    <x v="0"/>
    <d v="2021-12-31T00:00:00"/>
    <s v="Single"/>
    <x v="2"/>
    <x v="0"/>
    <n v="13"/>
    <x v="0"/>
    <x v="0"/>
  </r>
  <r>
    <x v="0"/>
    <m/>
    <n v="180612"/>
    <s v="Collin Paul"/>
    <d v="2020-09-01T00:00:00"/>
    <m/>
    <x v="4"/>
    <x v="1"/>
    <x v="1"/>
    <d v="2021-05-27T00:00:00"/>
    <s v="Single"/>
    <x v="3"/>
    <x v="1"/>
    <n v="0"/>
    <x v="0"/>
    <x v="0"/>
  </r>
  <r>
    <x v="1"/>
    <m/>
    <n v="154702"/>
    <s v="Frances Leblanc"/>
    <d v="2020-09-09T00:00:00"/>
    <d v="2024-01-20T00:00:00"/>
    <x v="5"/>
    <x v="1"/>
    <x v="1"/>
    <d v="2021-11-07T00:00:00"/>
    <s v="Married"/>
    <x v="3"/>
    <x v="0"/>
    <n v="0"/>
    <x v="0"/>
    <x v="0"/>
  </r>
  <r>
    <x v="0"/>
    <m/>
    <n v="101286"/>
    <s v="Alexis Conway"/>
    <d v="2020-09-09T00:00:00"/>
    <m/>
    <x v="5"/>
    <x v="1"/>
    <x v="0"/>
    <d v="2021-03-14T00:00:00"/>
    <s v="Single"/>
    <x v="2"/>
    <x v="2"/>
    <n v="14"/>
    <x v="0"/>
    <x v="0"/>
  </r>
  <r>
    <x v="1"/>
    <m/>
    <n v="137383"/>
    <s v="Roberta Moyer"/>
    <d v="2020-09-16T00:00:00"/>
    <d v="2021-03-03T00:00:00"/>
    <x v="3"/>
    <x v="1"/>
    <x v="0"/>
    <d v="2021-01-24T00:00:00"/>
    <s v="Single"/>
    <x v="2"/>
    <x v="0"/>
    <n v="9"/>
    <x v="0"/>
    <x v="0"/>
  </r>
  <r>
    <x v="1"/>
    <m/>
    <n v="185704"/>
    <s v="Alejandra Mack"/>
    <d v="2020-09-16T00:00:00"/>
    <d v="2021-07-18T00:00:00"/>
    <x v="4"/>
    <x v="1"/>
    <x v="0"/>
    <d v="2021-12-06T00:00:00"/>
    <s v="Single"/>
    <x v="3"/>
    <x v="5"/>
    <n v="0"/>
    <x v="0"/>
    <x v="0"/>
  </r>
  <r>
    <x v="1"/>
    <m/>
    <n v="151727"/>
    <s v="Chi Preston"/>
    <d v="2020-09-16T00:00:00"/>
    <d v="2023-06-29T00:00:00"/>
    <x v="4"/>
    <x v="1"/>
    <x v="0"/>
    <d v="2021-02-03T00:00:00"/>
    <s v="Single"/>
    <x v="3"/>
    <x v="5"/>
    <n v="0"/>
    <x v="0"/>
    <x v="0"/>
  </r>
  <r>
    <x v="1"/>
    <m/>
    <n v="135167"/>
    <s v="Randolph Reilly"/>
    <d v="2020-09-16T00:00:00"/>
    <d v="2023-09-26T00:00:00"/>
    <x v="4"/>
    <x v="1"/>
    <x v="0"/>
    <d v="2021-03-28T00:00:00"/>
    <s v="Single"/>
    <x v="3"/>
    <x v="5"/>
    <n v="0"/>
    <x v="0"/>
    <x v="0"/>
  </r>
  <r>
    <x v="1"/>
    <m/>
    <n v="100971"/>
    <s v="Howard Wiggins"/>
    <d v="2020-09-16T00:00:00"/>
    <d v="2023-12-23T00:00:00"/>
    <x v="4"/>
    <x v="1"/>
    <x v="0"/>
    <d v="2021-09-08T00:00:00"/>
    <s v="Single"/>
    <x v="3"/>
    <x v="5"/>
    <n v="0"/>
    <x v="0"/>
    <x v="0"/>
  </r>
  <r>
    <x v="1"/>
    <m/>
    <n v="145787"/>
    <s v="Palmer Hart"/>
    <d v="2020-09-16T00:00:00"/>
    <d v="2024-01-27T00:00:00"/>
    <x v="4"/>
    <x v="1"/>
    <x v="1"/>
    <d v="2021-10-14T00:00:00"/>
    <s v="Married"/>
    <x v="3"/>
    <x v="5"/>
    <n v="0"/>
    <x v="0"/>
    <x v="0"/>
  </r>
  <r>
    <x v="1"/>
    <m/>
    <n v="170924"/>
    <s v="Lesa Terrell"/>
    <d v="2020-09-16T00:00:00"/>
    <d v="2024-03-17T00:00:00"/>
    <x v="6"/>
    <x v="1"/>
    <x v="0"/>
    <d v="2021-10-01T00:00:00"/>
    <s v="Single"/>
    <x v="3"/>
    <x v="5"/>
    <n v="0"/>
    <x v="0"/>
    <x v="0"/>
  </r>
  <r>
    <x v="1"/>
    <m/>
    <n v="129573"/>
    <s v="Celeste Moses"/>
    <d v="2020-09-16T00:00:00"/>
    <d v="2024-09-29T00:00:00"/>
    <x v="1"/>
    <x v="1"/>
    <x v="1"/>
    <d v="2021-09-16T00:00:00"/>
    <s v="Single"/>
    <x v="1"/>
    <x v="5"/>
    <n v="0"/>
    <x v="0"/>
    <x v="0"/>
  </r>
  <r>
    <x v="0"/>
    <m/>
    <n v="115742"/>
    <s v="Leanne Mosley"/>
    <d v="2020-09-16T00:00:00"/>
    <m/>
    <x v="1"/>
    <x v="1"/>
    <x v="1"/>
    <d v="2021-09-23T00:00:00"/>
    <s v="Single"/>
    <x v="1"/>
    <x v="5"/>
    <n v="0"/>
    <x v="0"/>
    <x v="0"/>
  </r>
  <r>
    <x v="0"/>
    <m/>
    <n v="126064"/>
    <s v="Renaldo Navarro"/>
    <d v="2020-09-16T00:00:00"/>
    <m/>
    <x v="1"/>
    <x v="1"/>
    <x v="1"/>
    <d v="2021-05-30T00:00:00"/>
    <s v="Single"/>
    <x v="1"/>
    <x v="5"/>
    <n v="0"/>
    <x v="0"/>
    <x v="0"/>
  </r>
  <r>
    <x v="0"/>
    <m/>
    <n v="173140"/>
    <s v="Sonia Ortiz"/>
    <d v="2020-09-16T00:00:00"/>
    <m/>
    <x v="6"/>
    <x v="1"/>
    <x v="0"/>
    <d v="2021-07-13T00:00:00"/>
    <s v="Single"/>
    <x v="1"/>
    <x v="5"/>
    <n v="0"/>
    <x v="0"/>
    <x v="0"/>
  </r>
  <r>
    <x v="1"/>
    <m/>
    <n v="181592"/>
    <s v="Faith Lopez"/>
    <d v="2020-10-16T00:00:00"/>
    <d v="2024-02-03T00:00:00"/>
    <x v="6"/>
    <x v="1"/>
    <x v="0"/>
    <d v="2021-01-24T00:00:00"/>
    <s v="Married"/>
    <x v="2"/>
    <x v="5"/>
    <n v="12"/>
    <x v="0"/>
    <x v="0"/>
  </r>
  <r>
    <x v="1"/>
    <m/>
    <n v="144158"/>
    <s v="Kim Ramirez"/>
    <d v="2020-11-28T00:00:00"/>
    <d v="2023-03-31T00:00:00"/>
    <x v="0"/>
    <x v="1"/>
    <x v="0"/>
    <d v="2021-04-10T00:00:00"/>
    <s v="Married"/>
    <x v="1"/>
    <x v="1"/>
    <n v="6"/>
    <x v="0"/>
    <x v="0"/>
  </r>
  <r>
    <x v="0"/>
    <m/>
    <n v="178955"/>
    <s v="Mariana Chavez"/>
    <d v="2020-12-02T00:00:00"/>
    <m/>
    <x v="6"/>
    <x v="1"/>
    <x v="0"/>
    <d v="2021-03-18T00:00:00"/>
    <s v="Single"/>
    <x v="1"/>
    <x v="1"/>
    <n v="8"/>
    <x v="0"/>
    <x v="0"/>
  </r>
  <r>
    <x v="1"/>
    <m/>
    <n v="110616"/>
    <s v="Tracey Burch"/>
    <d v="2020-12-21T00:00:00"/>
    <d v="2022-03-31T00:00:00"/>
    <x v="0"/>
    <x v="1"/>
    <x v="0"/>
    <d v="2021-01-20T00:00:00"/>
    <s v="Married"/>
    <x v="1"/>
    <x v="4"/>
    <n v="9"/>
    <x v="0"/>
    <x v="0"/>
  </r>
  <r>
    <x v="1"/>
    <m/>
    <n v="120981"/>
    <s v="Gabriela Juarez"/>
    <d v="2020-12-26T00:00:00"/>
    <d v="2023-07-01T00:00:00"/>
    <x v="0"/>
    <x v="1"/>
    <x v="1"/>
    <d v="2021-07-22T00:00:00"/>
    <s v="Single"/>
    <x v="3"/>
    <x v="0"/>
    <n v="0"/>
    <x v="0"/>
    <x v="0"/>
  </r>
  <r>
    <x v="1"/>
    <m/>
    <n v="140182"/>
    <s v="Katheryn Trevino"/>
    <d v="2021-01-22T00:00:00"/>
    <d v="2022-03-15T00:00:00"/>
    <x v="4"/>
    <x v="1"/>
    <x v="1"/>
    <d v="2021-02-08T00:00:00"/>
    <s v="Single"/>
    <x v="3"/>
    <x v="0"/>
    <n v="0"/>
    <x v="1"/>
    <x v="0"/>
  </r>
  <r>
    <x v="1"/>
    <m/>
    <n v="174057"/>
    <s v="Angelita Townsend"/>
    <d v="2021-01-22T00:00:00"/>
    <d v="2023-02-08T00:00:00"/>
    <x v="4"/>
    <x v="1"/>
    <x v="0"/>
    <d v="2021-11-11T00:00:00"/>
    <s v="Married"/>
    <x v="1"/>
    <x v="0"/>
    <n v="6"/>
    <x v="1"/>
    <x v="0"/>
  </r>
  <r>
    <x v="1"/>
    <m/>
    <n v="124194"/>
    <s v="Damon Burgess"/>
    <d v="2021-01-29T00:00:00"/>
    <d v="2022-03-10T00:00:00"/>
    <x v="1"/>
    <x v="1"/>
    <x v="0"/>
    <d v="2021-01-25T00:00:00"/>
    <s v="Married"/>
    <x v="2"/>
    <x v="1"/>
    <n v="13"/>
    <x v="1"/>
    <x v="0"/>
  </r>
  <r>
    <x v="1"/>
    <m/>
    <n v="185420"/>
    <s v="Olen Watts"/>
    <d v="2021-02-19T00:00:00"/>
    <d v="2023-09-30T00:00:00"/>
    <x v="2"/>
    <x v="1"/>
    <x v="0"/>
    <d v="2021-06-24T00:00:00"/>
    <s v="Married"/>
    <x v="1"/>
    <x v="2"/>
    <n v="5"/>
    <x v="1"/>
    <x v="0"/>
  </r>
  <r>
    <x v="1"/>
    <m/>
    <n v="184945"/>
    <s v="Raymond Levine"/>
    <d v="2021-02-24T00:00:00"/>
    <d v="2022-07-06T00:00:00"/>
    <x v="1"/>
    <x v="1"/>
    <x v="0"/>
    <d v="2021-09-27T00:00:00"/>
    <s v="Married"/>
    <x v="1"/>
    <x v="1"/>
    <n v="10"/>
    <x v="1"/>
    <x v="0"/>
  </r>
  <r>
    <x v="0"/>
    <m/>
    <n v="129852"/>
    <s v="Sally Hinton"/>
    <d v="2021-03-02T00:00:00"/>
    <m/>
    <x v="4"/>
    <x v="1"/>
    <x v="0"/>
    <d v="2021-01-04T00:00:00"/>
    <s v="Single"/>
    <x v="2"/>
    <x v="0"/>
    <n v="10"/>
    <x v="1"/>
    <x v="0"/>
  </r>
  <r>
    <x v="1"/>
    <m/>
    <n v="139272"/>
    <s v="Katelyn Ware"/>
    <d v="2021-03-09T00:00:00"/>
    <d v="2023-06-30T00:00:00"/>
    <x v="0"/>
    <x v="1"/>
    <x v="1"/>
    <d v="2021-06-16T00:00:00"/>
    <s v="Married"/>
    <x v="1"/>
    <x v="0"/>
    <n v="8"/>
    <x v="1"/>
    <x v="1"/>
  </r>
  <r>
    <x v="0"/>
    <m/>
    <n v="194976"/>
    <s v="Jessie Bowen"/>
    <d v="2021-03-16T00:00:00"/>
    <m/>
    <x v="4"/>
    <x v="1"/>
    <x v="1"/>
    <d v="2021-01-04T00:00:00"/>
    <s v="Single"/>
    <x v="1"/>
    <x v="0"/>
    <n v="3.5"/>
    <x v="1"/>
    <x v="1"/>
  </r>
  <r>
    <x v="0"/>
    <m/>
    <n v="132557"/>
    <s v="Mac Marquez"/>
    <d v="2021-05-27T00:00:00"/>
    <m/>
    <x v="1"/>
    <x v="1"/>
    <x v="1"/>
    <d v="2021-08-21T00:00:00"/>
    <s v="Single"/>
    <x v="1"/>
    <x v="2"/>
    <n v="7"/>
    <x v="1"/>
    <x v="1"/>
  </r>
  <r>
    <x v="1"/>
    <s v="OnRoll"/>
    <n v="187280"/>
    <s v="Spencer Webb"/>
    <d v="2021-08-10T00:00:00"/>
    <d v="2022-02-19T00:00:00"/>
    <x v="4"/>
    <x v="1"/>
    <x v="1"/>
    <d v="2021-09-16T00:00:00"/>
    <s v="Single"/>
    <x v="3"/>
    <x v="0"/>
    <n v="0"/>
    <x v="1"/>
    <x v="1"/>
  </r>
  <r>
    <x v="0"/>
    <s v="OnRoll"/>
    <n v="190396"/>
    <s v="Valentin Mcdonald"/>
    <d v="2021-08-10T00:00:00"/>
    <m/>
    <x v="4"/>
    <x v="1"/>
    <x v="0"/>
    <d v="2021-11-13T00:00:00"/>
    <s v="Single"/>
    <x v="3"/>
    <x v="0"/>
    <n v="0"/>
    <x v="1"/>
    <x v="1"/>
  </r>
  <r>
    <x v="2"/>
    <m/>
    <n v="161242"/>
    <s v="Royce Schneider"/>
    <d v="2021-08-12T00:00:00"/>
    <m/>
    <x v="3"/>
    <x v="1"/>
    <x v="0"/>
    <d v="2021-12-26T00:00:00"/>
    <s v="Married"/>
    <x v="1"/>
    <x v="0"/>
    <n v="10"/>
    <x v="1"/>
    <x v="1"/>
  </r>
  <r>
    <x v="1"/>
    <m/>
    <n v="156965"/>
    <s v="Kara Mclean"/>
    <d v="2021-08-17T00:00:00"/>
    <d v="2022-03-16T00:00:00"/>
    <x v="4"/>
    <x v="1"/>
    <x v="1"/>
    <d v="2021-02-20T00:00:00"/>
    <s v="Married"/>
    <x v="1"/>
    <x v="0"/>
    <n v="11"/>
    <x v="1"/>
    <x v="1"/>
  </r>
  <r>
    <x v="1"/>
    <m/>
    <n v="192455"/>
    <s v="Damian Mckee"/>
    <d v="2021-09-01T00:00:00"/>
    <d v="2021-02-06T00:00:00"/>
    <x v="0"/>
    <x v="1"/>
    <x v="0"/>
    <d v="2021-05-22T00:00:00"/>
    <s v="Married"/>
    <x v="1"/>
    <x v="4"/>
    <n v="8"/>
    <x v="1"/>
    <x v="1"/>
  </r>
  <r>
    <x v="1"/>
    <m/>
    <n v="174038"/>
    <s v="Mohamed Duran"/>
    <d v="2021-09-01T00:00:00"/>
    <d v="2021-03-27T00:00:00"/>
    <x v="4"/>
    <x v="1"/>
    <x v="1"/>
    <d v="2021-12-10T00:00:00"/>
    <s v="Married"/>
    <x v="1"/>
    <x v="1"/>
    <n v="12"/>
    <x v="1"/>
    <x v="1"/>
  </r>
  <r>
    <x v="0"/>
    <m/>
    <n v="129765"/>
    <s v="Vera Harvey"/>
    <d v="2021-09-01T00:00:00"/>
    <m/>
    <x v="0"/>
    <x v="1"/>
    <x v="0"/>
    <d v="2021-01-15T00:00:00"/>
    <s v="Single"/>
    <x v="1"/>
    <x v="0"/>
    <n v="5"/>
    <x v="1"/>
    <x v="1"/>
  </r>
  <r>
    <x v="0"/>
    <m/>
    <n v="154732"/>
    <s v="Cristina David"/>
    <d v="2021-09-09T00:00:00"/>
    <m/>
    <x v="5"/>
    <x v="1"/>
    <x v="1"/>
    <d v="2021-11-07T00:00:00"/>
    <s v="Single"/>
    <x v="3"/>
    <x v="0"/>
    <n v="0"/>
    <x v="1"/>
    <x v="1"/>
  </r>
  <r>
    <x v="0"/>
    <m/>
    <n v="137413"/>
    <s v="Florence Randall"/>
    <d v="2021-09-16T00:00:00"/>
    <m/>
    <x v="5"/>
    <x v="1"/>
    <x v="0"/>
    <d v="2021-01-24T00:00:00"/>
    <s v="Single"/>
    <x v="2"/>
    <x v="0"/>
    <n v="9"/>
    <x v="1"/>
    <x v="1"/>
  </r>
  <r>
    <x v="0"/>
    <m/>
    <n v="185734"/>
    <s v="Andrea Logan"/>
    <d v="2021-09-16T00:00:00"/>
    <m/>
    <x v="4"/>
    <x v="1"/>
    <x v="0"/>
    <d v="2021-12-06T00:00:00"/>
    <s v="Single"/>
    <x v="3"/>
    <x v="5"/>
    <n v="0"/>
    <x v="1"/>
    <x v="1"/>
  </r>
  <r>
    <x v="0"/>
    <m/>
    <n v="142749"/>
    <s v="Barrett Wallace"/>
    <d v="2021-09-30T00:00:00"/>
    <m/>
    <x v="4"/>
    <x v="1"/>
    <x v="0"/>
    <d v="2021-07-04T00:00:00"/>
    <s v="Single"/>
    <x v="1"/>
    <x v="0"/>
    <n v="17"/>
    <x v="1"/>
    <x v="1"/>
  </r>
  <r>
    <x v="1"/>
    <m/>
    <n v="116657"/>
    <s v="Claude Ramsey"/>
    <d v="2021-10-21T00:00:00"/>
    <d v="2022-06-28T00:00:00"/>
    <x v="4"/>
    <x v="1"/>
    <x v="0"/>
    <d v="2021-04-14T00:00:00"/>
    <s v="Single"/>
    <x v="1"/>
    <x v="0"/>
    <n v="4.5999999999999996"/>
    <x v="1"/>
    <x v="1"/>
  </r>
  <r>
    <x v="0"/>
    <m/>
    <n v="144530"/>
    <s v="Mason Wells"/>
    <d v="2021-11-18T00:00:00"/>
    <m/>
    <x v="4"/>
    <x v="1"/>
    <x v="0"/>
    <d v="2021-03-20T00:00:00"/>
    <s v="Single"/>
    <x v="1"/>
    <x v="6"/>
    <n v="14"/>
    <x v="1"/>
    <x v="1"/>
  </r>
  <r>
    <x v="0"/>
    <m/>
    <n v="101259"/>
    <s v="Whitney Vance"/>
    <d v="2022-02-24T00:00:00"/>
    <m/>
    <x v="1"/>
    <x v="1"/>
    <x v="0"/>
    <d v="2021-11-27T00:00:00"/>
    <s v="Married"/>
    <x v="2"/>
    <x v="0"/>
    <n v="12"/>
    <x v="2"/>
    <x v="1"/>
  </r>
  <r>
    <x v="0"/>
    <m/>
    <n v="122323"/>
    <s v="Bobbie Harvey"/>
    <d v="2022-03-03T00:00:00"/>
    <m/>
    <x v="2"/>
    <x v="1"/>
    <x v="1"/>
    <d v="2021-08-18T00:00:00"/>
    <s v="Married"/>
    <x v="1"/>
    <x v="6"/>
    <n v="14"/>
    <x v="2"/>
    <x v="1"/>
  </r>
  <r>
    <x v="0"/>
    <m/>
    <n v="136489"/>
    <s v="Russel Fox"/>
    <d v="2022-03-17T00:00:00"/>
    <m/>
    <x v="4"/>
    <x v="1"/>
    <x v="0"/>
    <d v="2021-02-03T00:00:00"/>
    <s v="Married"/>
    <x v="1"/>
    <x v="6"/>
    <n v="5.3"/>
    <x v="2"/>
    <x v="2"/>
  </r>
  <r>
    <x v="0"/>
    <m/>
    <n v="107161"/>
    <s v="Benita Holland"/>
    <d v="2022-03-24T00:00:00"/>
    <m/>
    <x v="0"/>
    <x v="1"/>
    <x v="1"/>
    <d v="2021-07-25T00:00:00"/>
    <s v="Single"/>
    <x v="3"/>
    <x v="6"/>
    <n v="2.5"/>
    <x v="2"/>
    <x v="2"/>
  </r>
  <r>
    <x v="0"/>
    <m/>
    <n v="182061"/>
    <s v="Cory Leblanc"/>
    <d v="2022-03-24T00:00:00"/>
    <m/>
    <x v="4"/>
    <x v="1"/>
    <x v="0"/>
    <d v="2021-05-06T00:00:00"/>
    <s v="Single"/>
    <x v="1"/>
    <x v="6"/>
    <n v="2.11"/>
    <x v="2"/>
    <x v="2"/>
  </r>
  <r>
    <x v="0"/>
    <m/>
    <n v="123190"/>
    <s v="Isaiah George"/>
    <d v="2022-04-07T00:00:00"/>
    <m/>
    <x v="4"/>
    <x v="1"/>
    <x v="1"/>
    <d v="2021-01-18T00:00:00"/>
    <s v="Single"/>
    <x v="3"/>
    <x v="6"/>
    <n v="0"/>
    <x v="2"/>
    <x v="2"/>
  </r>
  <r>
    <x v="0"/>
    <m/>
    <n v="118638"/>
    <s v="Brad Nichols"/>
    <d v="2022-04-07T00:00:00"/>
    <m/>
    <x v="4"/>
    <x v="1"/>
    <x v="0"/>
    <d v="2021-11-24T00:00:00"/>
    <s v="Married"/>
    <x v="1"/>
    <x v="6"/>
    <n v="15"/>
    <x v="2"/>
    <x v="2"/>
  </r>
  <r>
    <x v="0"/>
    <m/>
    <n v="132330"/>
    <s v="Quentin Mcdonald"/>
    <d v="2022-04-14T00:00:00"/>
    <m/>
    <x v="3"/>
    <x v="1"/>
    <x v="0"/>
    <d v="2021-10-14T00:00:00"/>
    <s v="Married"/>
    <x v="2"/>
    <x v="5"/>
    <n v="14"/>
    <x v="2"/>
    <x v="2"/>
  </r>
  <r>
    <x v="0"/>
    <m/>
    <n v="191594"/>
    <s v="Johnie Pruitt"/>
    <d v="2022-04-19T00:00:00"/>
    <m/>
    <x v="2"/>
    <x v="1"/>
    <x v="0"/>
    <d v="2021-09-07T00:00:00"/>
    <s v="Married"/>
    <x v="1"/>
    <x v="0"/>
    <n v="8"/>
    <x v="2"/>
    <x v="2"/>
  </r>
  <r>
    <x v="2"/>
    <m/>
    <n v="152991"/>
    <s v="Walker Whitney"/>
    <d v="2022-05-05T00:00:00"/>
    <m/>
    <x v="1"/>
    <x v="1"/>
    <x v="0"/>
    <d v="2021-02-18T00:00:00"/>
    <s v="Married"/>
    <x v="1"/>
    <x v="0"/>
    <n v="15"/>
    <x v="2"/>
    <x v="2"/>
  </r>
  <r>
    <x v="1"/>
    <s v="OnRoll"/>
    <n v="101996"/>
    <s v="Alexander Fowler"/>
    <d v="2022-06-30T00:00:00"/>
    <d v="2023-07-01T00:00:00"/>
    <x v="1"/>
    <x v="1"/>
    <x v="0"/>
    <d v="2021-08-06T00:00:00"/>
    <s v="Single"/>
    <x v="3"/>
    <x v="6"/>
    <n v="1"/>
    <x v="2"/>
    <x v="2"/>
  </r>
  <r>
    <x v="1"/>
    <m/>
    <n v="138939"/>
    <s v="Susanna Humphrey"/>
    <d v="2022-07-07T00:00:00"/>
    <d v="2023-05-08T00:00:00"/>
    <x v="1"/>
    <x v="1"/>
    <x v="1"/>
    <d v="2021-04-03T00:00:00"/>
    <s v="Married"/>
    <x v="1"/>
    <x v="0"/>
    <n v="6"/>
    <x v="2"/>
    <x v="2"/>
  </r>
  <r>
    <x v="1"/>
    <m/>
    <n v="198396"/>
    <s v="Beth Lowe"/>
    <d v="2022-07-21T00:00:00"/>
    <d v="2024-02-02T00:00:00"/>
    <x v="1"/>
    <x v="1"/>
    <x v="0"/>
    <d v="2021-01-12T00:00:00"/>
    <s v="Married"/>
    <x v="2"/>
    <x v="1"/>
    <n v="18"/>
    <x v="2"/>
    <x v="2"/>
  </r>
  <r>
    <x v="0"/>
    <m/>
    <n v="194143"/>
    <s v="Casandra Aguilar"/>
    <d v="2022-07-21T00:00:00"/>
    <m/>
    <x v="4"/>
    <x v="1"/>
    <x v="0"/>
    <d v="2021-02-21T00:00:00"/>
    <s v="Married"/>
    <x v="1"/>
    <x v="6"/>
    <n v="6.5"/>
    <x v="2"/>
    <x v="2"/>
  </r>
  <r>
    <x v="2"/>
    <m/>
    <n v="134729"/>
    <s v="Lynn Andersen"/>
    <d v="2022-07-26T00:00:00"/>
    <m/>
    <x v="1"/>
    <x v="1"/>
    <x v="0"/>
    <d v="2021-01-10T00:00:00"/>
    <s v="Single"/>
    <x v="1"/>
    <x v="0"/>
    <n v="7"/>
    <x v="2"/>
    <x v="2"/>
  </r>
  <r>
    <x v="1"/>
    <m/>
    <n v="186526"/>
    <s v="Leola Vega"/>
    <d v="2022-09-01T00:00:00"/>
    <d v="2023-12-09T00:00:00"/>
    <x v="4"/>
    <x v="1"/>
    <x v="1"/>
    <d v="2021-12-10T00:00:00"/>
    <s v="Married"/>
    <x v="3"/>
    <x v="6"/>
    <n v="1.8"/>
    <x v="2"/>
    <x v="2"/>
  </r>
  <r>
    <x v="0"/>
    <m/>
    <n v="115395"/>
    <s v="Hillary Spencer"/>
    <d v="2022-09-01T00:00:00"/>
    <m/>
    <x v="4"/>
    <x v="1"/>
    <x v="1"/>
    <d v="2021-10-26T00:00:00"/>
    <s v="Single"/>
    <x v="3"/>
    <x v="6"/>
    <n v="3.5"/>
    <x v="2"/>
    <x v="2"/>
  </r>
  <r>
    <x v="0"/>
    <m/>
    <n v="160948"/>
    <s v="Joesph Jones"/>
    <d v="2022-09-01T00:00:00"/>
    <m/>
    <x v="4"/>
    <x v="1"/>
    <x v="1"/>
    <d v="2021-10-03T00:00:00"/>
    <s v="Single"/>
    <x v="3"/>
    <x v="6"/>
    <n v="0"/>
    <x v="2"/>
    <x v="2"/>
  </r>
  <r>
    <x v="0"/>
    <m/>
    <n v="163814"/>
    <s v="Otha May"/>
    <d v="2022-09-01T00:00:00"/>
    <m/>
    <x v="0"/>
    <x v="1"/>
    <x v="0"/>
    <d v="2021-01-12T00:00:00"/>
    <s v="Single"/>
    <x v="3"/>
    <x v="6"/>
    <n v="2"/>
    <x v="2"/>
    <x v="2"/>
  </r>
  <r>
    <x v="0"/>
    <m/>
    <n v="163161"/>
    <s v="Ophelia Black"/>
    <d v="2022-09-01T00:00:00"/>
    <m/>
    <x v="4"/>
    <x v="1"/>
    <x v="0"/>
    <d v="2021-01-19T00:00:00"/>
    <s v="Married"/>
    <x v="1"/>
    <x v="6"/>
    <n v="13"/>
    <x v="2"/>
    <x v="2"/>
  </r>
  <r>
    <x v="0"/>
    <m/>
    <n v="173240"/>
    <s v="Helena Williamson"/>
    <d v="2022-09-15T00:00:00"/>
    <m/>
    <x v="0"/>
    <x v="1"/>
    <x v="1"/>
    <d v="2021-02-02T00:00:00"/>
    <s v="Married"/>
    <x v="1"/>
    <x v="6"/>
    <n v="8.1999999999999993"/>
    <x v="2"/>
    <x v="2"/>
  </r>
  <r>
    <x v="0"/>
    <m/>
    <n v="109673"/>
    <s v="Megan Kent"/>
    <d v="2022-10-06T00:00:00"/>
    <m/>
    <x v="4"/>
    <x v="1"/>
    <x v="0"/>
    <d v="2021-05-10T00:00:00"/>
    <s v="Single"/>
    <x v="3"/>
    <x v="6"/>
    <n v="7.6"/>
    <x v="2"/>
    <x v="2"/>
  </r>
  <r>
    <x v="0"/>
    <m/>
    <n v="138302"/>
    <s v="Rufus Escobar"/>
    <d v="2022-10-13T00:00:00"/>
    <m/>
    <x v="4"/>
    <x v="1"/>
    <x v="0"/>
    <d v="2021-08-25T00:00:00"/>
    <s v="Single"/>
    <x v="3"/>
    <x v="6"/>
    <n v="6.2"/>
    <x v="2"/>
    <x v="2"/>
  </r>
  <r>
    <x v="2"/>
    <m/>
    <n v="126765"/>
    <s v="Ericka Hurst"/>
    <d v="2022-11-03T00:00:00"/>
    <m/>
    <x v="1"/>
    <x v="1"/>
    <x v="0"/>
    <d v="2021-01-21T00:00:00"/>
    <s v="Married"/>
    <x v="1"/>
    <x v="0"/>
    <n v="15"/>
    <x v="2"/>
    <x v="2"/>
  </r>
  <r>
    <x v="2"/>
    <m/>
    <n v="188099"/>
    <s v="Johnny Cisneros"/>
    <d v="2022-12-06T00:00:00"/>
    <m/>
    <x v="1"/>
    <x v="1"/>
    <x v="0"/>
    <d v="2021-05-16T00:00:00"/>
    <s v="Married"/>
    <x v="1"/>
    <x v="0"/>
    <n v="16"/>
    <x v="2"/>
    <x v="2"/>
  </r>
  <r>
    <x v="0"/>
    <s v="OnRoll"/>
    <n v="115441"/>
    <s v="Alba Norton"/>
    <d v="2023-02-01T00:00:00"/>
    <m/>
    <x v="1"/>
    <x v="1"/>
    <x v="0"/>
    <d v="2021-06-30T00:00:00"/>
    <s v="Single"/>
    <x v="3"/>
    <x v="4"/>
    <n v="1.5"/>
    <x v="3"/>
    <x v="2"/>
  </r>
  <r>
    <x v="0"/>
    <s v="OnRoll"/>
    <n v="169669"/>
    <s v="Sanford Patterson"/>
    <d v="2023-04-11T00:00:00"/>
    <m/>
    <x v="1"/>
    <x v="1"/>
    <x v="1"/>
    <d v="2022-03-19T00:00:00"/>
    <s v="Married"/>
    <x v="1"/>
    <x v="2"/>
    <n v="6"/>
    <x v="3"/>
    <x v="3"/>
  </r>
  <r>
    <x v="0"/>
    <m/>
    <n v="100957"/>
    <s v="Blanche Greer"/>
    <d v="2023-04-20T00:00:00"/>
    <m/>
    <x v="1"/>
    <x v="1"/>
    <x v="1"/>
    <d v="2022-03-12T00:00:00"/>
    <s v="Married"/>
    <x v="1"/>
    <x v="0"/>
    <n v="8"/>
    <x v="3"/>
    <x v="3"/>
  </r>
  <r>
    <x v="2"/>
    <m/>
    <n v="193737"/>
    <s v="Nita Powers"/>
    <d v="2023-05-11T00:00:00"/>
    <m/>
    <x v="1"/>
    <x v="1"/>
    <x v="0"/>
    <d v="2022-10-13T00:00:00"/>
    <s v="Married"/>
    <x v="1"/>
    <x v="0"/>
    <n v="11.5"/>
    <x v="3"/>
    <x v="3"/>
  </r>
  <r>
    <x v="0"/>
    <m/>
    <n v="180698"/>
    <s v="Francesco Blanchard"/>
    <d v="2023-05-18T00:00:00"/>
    <m/>
    <x v="1"/>
    <x v="1"/>
    <x v="0"/>
    <d v="2022-03-09T00:00:00"/>
    <s v="Single"/>
    <x v="1"/>
    <x v="0"/>
    <n v="3.5"/>
    <x v="3"/>
    <x v="3"/>
  </r>
  <r>
    <x v="1"/>
    <m/>
    <n v="124433"/>
    <s v="Elias Davis"/>
    <d v="2023-06-01T00:00:00"/>
    <d v="2023-07-11T00:00:00"/>
    <x v="4"/>
    <x v="1"/>
    <x v="1"/>
    <d v="2022-11-02T00:00:00"/>
    <s v="Single"/>
    <x v="3"/>
    <x v="5"/>
    <n v="0"/>
    <x v="3"/>
    <x v="3"/>
  </r>
  <r>
    <x v="0"/>
    <s v="OnRoll"/>
    <n v="151636"/>
    <s v="Lucio Christian"/>
    <d v="2023-06-06T00:00:00"/>
    <m/>
    <x v="1"/>
    <x v="1"/>
    <x v="0"/>
    <d v="2021-02-28T00:00:00"/>
    <s v="Single"/>
    <x v="3"/>
    <x v="5"/>
    <n v="1.8"/>
    <x v="3"/>
    <x v="3"/>
  </r>
  <r>
    <x v="0"/>
    <s v="OnRoll"/>
    <n v="173529"/>
    <s v="Greg Schaefer"/>
    <d v="2023-06-06T00:00:00"/>
    <m/>
    <x v="1"/>
    <x v="1"/>
    <x v="1"/>
    <d v="2021-01-08T00:00:00"/>
    <s v="Single"/>
    <x v="3"/>
    <x v="5"/>
    <n v="1.5"/>
    <x v="3"/>
    <x v="3"/>
  </r>
  <r>
    <x v="0"/>
    <s v="OnRoll"/>
    <n v="116633"/>
    <s v="Adriana Little"/>
    <d v="2023-06-06T00:00:00"/>
    <m/>
    <x v="1"/>
    <x v="1"/>
    <x v="1"/>
    <d v="2021-01-22T00:00:00"/>
    <s v="Single"/>
    <x v="3"/>
    <x v="5"/>
    <n v="0.11"/>
    <x v="3"/>
    <x v="3"/>
  </r>
  <r>
    <x v="0"/>
    <s v="OnRoll"/>
    <n v="160990"/>
    <s v="Abdul Khan"/>
    <d v="2023-06-06T00:00:00"/>
    <m/>
    <x v="1"/>
    <x v="1"/>
    <x v="0"/>
    <d v="2022-08-31T00:00:00"/>
    <s v="Single"/>
    <x v="3"/>
    <x v="5"/>
    <n v="0"/>
    <x v="3"/>
    <x v="3"/>
  </r>
  <r>
    <x v="1"/>
    <m/>
    <n v="170513"/>
    <s v="Marissa Mckee"/>
    <d v="2023-06-08T00:00:00"/>
    <d v="2024-03-31T00:00:00"/>
    <x v="1"/>
    <x v="1"/>
    <x v="1"/>
    <d v="2022-05-31T00:00:00"/>
    <s v="Single"/>
    <x v="1"/>
    <x v="0"/>
    <n v="7"/>
    <x v="3"/>
    <x v="3"/>
  </r>
  <r>
    <x v="0"/>
    <m/>
    <n v="167822"/>
    <s v="Ashlee Ortega"/>
    <d v="2023-06-29T00:00:00"/>
    <m/>
    <x v="1"/>
    <x v="1"/>
    <x v="0"/>
    <d v="2022-07-31T00:00:00"/>
    <s v="Married"/>
    <x v="3"/>
    <x v="5"/>
    <n v="7"/>
    <x v="3"/>
    <x v="3"/>
  </r>
  <r>
    <x v="0"/>
    <m/>
    <n v="161037"/>
    <s v="Edmund Lawson"/>
    <d v="2023-07-04T00:00:00"/>
    <m/>
    <x v="1"/>
    <x v="1"/>
    <x v="1"/>
    <d v="2022-03-09T00:00:00"/>
    <s v="Single"/>
    <x v="3"/>
    <x v="0"/>
    <n v="5"/>
    <x v="3"/>
    <x v="3"/>
  </r>
  <r>
    <x v="0"/>
    <m/>
    <n v="153255"/>
    <s v="Linda Jacobs"/>
    <d v="2023-07-13T00:00:00"/>
    <m/>
    <x v="1"/>
    <x v="1"/>
    <x v="1"/>
    <d v="2022-01-29T00:00:00"/>
    <s v="Single"/>
    <x v="3"/>
    <x v="2"/>
    <n v="3.8"/>
    <x v="3"/>
    <x v="3"/>
  </r>
  <r>
    <x v="0"/>
    <m/>
    <n v="123179"/>
    <s v="Kelley Harding"/>
    <d v="2023-07-18T00:00:00"/>
    <m/>
    <x v="1"/>
    <x v="1"/>
    <x v="1"/>
    <d v="2022-02-20T00:00:00"/>
    <s v="Single"/>
    <x v="1"/>
    <x v="5"/>
    <n v="6.5"/>
    <x v="3"/>
    <x v="3"/>
  </r>
  <r>
    <x v="0"/>
    <m/>
    <n v="189554"/>
    <s v="Rose Carney"/>
    <d v="2023-07-27T00:00:00"/>
    <m/>
    <x v="1"/>
    <x v="1"/>
    <x v="1"/>
    <d v="2022-07-24T00:00:00"/>
    <s v="Married"/>
    <x v="1"/>
    <x v="5"/>
    <n v="8"/>
    <x v="3"/>
    <x v="3"/>
  </r>
  <r>
    <x v="0"/>
    <m/>
    <n v="186786"/>
    <s v="Emery Goodwin"/>
    <d v="2023-08-01T00:00:00"/>
    <m/>
    <x v="0"/>
    <x v="1"/>
    <x v="1"/>
    <d v="2022-09-15T00:00:00"/>
    <s v="Single"/>
    <x v="3"/>
    <x v="6"/>
    <n v="1.5"/>
    <x v="3"/>
    <x v="3"/>
  </r>
  <r>
    <x v="0"/>
    <m/>
    <n v="186818"/>
    <s v="Derick Singh"/>
    <d v="2023-08-03T00:00:00"/>
    <m/>
    <x v="0"/>
    <x v="1"/>
    <x v="0"/>
    <d v="2022-05-15T00:00:00"/>
    <s v="Single"/>
    <x v="1"/>
    <x v="6"/>
    <n v="7"/>
    <x v="3"/>
    <x v="3"/>
  </r>
  <r>
    <x v="0"/>
    <m/>
    <n v="147963"/>
    <s v="Hassan Wilcox"/>
    <d v="2023-08-16T00:00:00"/>
    <m/>
    <x v="1"/>
    <x v="1"/>
    <x v="1"/>
    <d v="2022-02-28T00:00:00"/>
    <s v="Married"/>
    <x v="1"/>
    <x v="0"/>
    <n v="15"/>
    <x v="3"/>
    <x v="3"/>
  </r>
  <r>
    <x v="0"/>
    <m/>
    <n v="150614"/>
    <s v="Natalie Serrano"/>
    <d v="2023-09-12T00:00:00"/>
    <m/>
    <x v="1"/>
    <x v="1"/>
    <x v="0"/>
    <d v="2022-09-26T00:00:00"/>
    <s v="Married"/>
    <x v="1"/>
    <x v="4"/>
    <n v="10.7"/>
    <x v="3"/>
    <x v="3"/>
  </r>
  <r>
    <x v="0"/>
    <m/>
    <n v="137151"/>
    <s v="Sandy Singleton"/>
    <d v="2023-09-26T00:00:00"/>
    <m/>
    <x v="4"/>
    <x v="1"/>
    <x v="1"/>
    <d v="2022-12-22T00:00:00"/>
    <s v="Single"/>
    <x v="3"/>
    <x v="6"/>
    <n v="2"/>
    <x v="3"/>
    <x v="3"/>
  </r>
  <r>
    <x v="0"/>
    <s v="OnRoll"/>
    <n v="173998"/>
    <s v="Josiah Hart"/>
    <d v="2023-10-28T00:00:00"/>
    <m/>
    <x v="1"/>
    <x v="1"/>
    <x v="0"/>
    <d v="2021-03-16T00:00:00"/>
    <s v="Single"/>
    <x v="1"/>
    <x v="1"/>
    <n v="5.3"/>
    <x v="3"/>
    <x v="3"/>
  </r>
  <r>
    <x v="0"/>
    <s v="OnRoll"/>
    <n v="103925"/>
    <s v="Wayne Hartman"/>
    <d v="2023-11-30T00:00:00"/>
    <m/>
    <x v="1"/>
    <x v="1"/>
    <x v="0"/>
    <d v="2021-05-12T00:00:00"/>
    <s v="Married"/>
    <x v="3"/>
    <x v="3"/>
    <n v="4.5"/>
    <x v="3"/>
    <x v="3"/>
  </r>
  <r>
    <x v="0"/>
    <m/>
    <n v="118694"/>
    <s v="Sallie Carpenter"/>
    <d v="2023-12-05T00:00:00"/>
    <m/>
    <x v="1"/>
    <x v="1"/>
    <x v="0"/>
    <d v="2022-01-20T00:00:00"/>
    <s v="Single"/>
    <x v="3"/>
    <x v="3"/>
    <n v="3.5"/>
    <x v="3"/>
    <x v="3"/>
  </r>
  <r>
    <x v="0"/>
    <m/>
    <n v="195849"/>
    <s v="Allen Walters"/>
    <d v="2023-12-05T00:00:00"/>
    <m/>
    <x v="1"/>
    <x v="1"/>
    <x v="1"/>
    <d v="2022-08-13T00:00:00"/>
    <s v="Single"/>
    <x v="3"/>
    <x v="3"/>
    <n v="1.5"/>
    <x v="3"/>
    <x v="3"/>
  </r>
  <r>
    <x v="0"/>
    <m/>
    <n v="182665"/>
    <s v="Flora Bass"/>
    <d v="2023-12-07T00:00:00"/>
    <m/>
    <x v="1"/>
    <x v="1"/>
    <x v="1"/>
    <d v="2022-03-02T00:00:00"/>
    <s v="Married"/>
    <x v="1"/>
    <x v="2"/>
    <n v="10.9"/>
    <x v="3"/>
    <x v="3"/>
  </r>
  <r>
    <x v="0"/>
    <m/>
    <n v="151067"/>
    <s v="Geneva Hardy"/>
    <d v="2023-12-12T00:00:00"/>
    <m/>
    <x v="2"/>
    <x v="1"/>
    <x v="1"/>
    <d v="2022-07-22T00:00:00"/>
    <s v="Married"/>
    <x v="3"/>
    <x v="5"/>
    <n v="2.8"/>
    <x v="3"/>
    <x v="3"/>
  </r>
  <r>
    <x v="0"/>
    <s v="OnRoll"/>
    <n v="188212"/>
    <s v="Roberto Harper"/>
    <d v="2023-12-14T00:00:00"/>
    <m/>
    <x v="1"/>
    <x v="1"/>
    <x v="0"/>
    <d v="2021-12-12T00:00:00"/>
    <s v="Married"/>
    <x v="1"/>
    <x v="2"/>
    <n v="7.5"/>
    <x v="3"/>
    <x v="3"/>
  </r>
  <r>
    <x v="0"/>
    <s v="OnRoll"/>
    <n v="188527"/>
    <s v="Isabella Miles"/>
    <d v="2023-12-14T00:00:00"/>
    <m/>
    <x v="1"/>
    <x v="1"/>
    <x v="1"/>
    <d v="2022-05-20T00:00:00"/>
    <s v="Single"/>
    <x v="3"/>
    <x v="3"/>
    <n v="10"/>
    <x v="3"/>
    <x v="3"/>
  </r>
  <r>
    <x v="0"/>
    <m/>
    <n v="151539"/>
    <s v="Consuelo Beck"/>
    <d v="2023-12-19T00:00:00"/>
    <m/>
    <x v="1"/>
    <x v="1"/>
    <x v="1"/>
    <d v="2022-02-21T00:00:00"/>
    <s v="Single"/>
    <x v="3"/>
    <x v="3"/>
    <n v="0"/>
    <x v="3"/>
    <x v="3"/>
  </r>
  <r>
    <x v="0"/>
    <m/>
    <n v="148895"/>
    <s v="Barney Velasquez"/>
    <d v="2023-12-28T00:00:00"/>
    <m/>
    <x v="2"/>
    <x v="1"/>
    <x v="1"/>
    <d v="2022-04-17T00:00:00"/>
    <s v="Single"/>
    <x v="3"/>
    <x v="5"/>
    <n v="0"/>
    <x v="3"/>
    <x v="3"/>
  </r>
  <r>
    <x v="0"/>
    <s v="OnRoll"/>
    <n v="114477"/>
    <s v="Jamaal Delgado"/>
    <d v="2024-01-04T00:00:00"/>
    <m/>
    <x v="1"/>
    <x v="1"/>
    <x v="0"/>
    <d v="2021-07-09T00:00:00"/>
    <s v="Single"/>
    <x v="3"/>
    <x v="3"/>
    <n v="1.6"/>
    <x v="4"/>
    <x v="3"/>
  </r>
  <r>
    <x v="0"/>
    <m/>
    <n v="170085"/>
    <s v="Glenda Ayers"/>
    <d v="2024-01-11T00:00:00"/>
    <m/>
    <x v="1"/>
    <x v="1"/>
    <x v="0"/>
    <d v="2023-08-06T00:00:00"/>
    <s v="Single"/>
    <x v="3"/>
    <x v="3"/>
    <n v="3.5"/>
    <x v="4"/>
    <x v="3"/>
  </r>
  <r>
    <x v="0"/>
    <m/>
    <n v="148355"/>
    <s v="Vonda Chandler"/>
    <d v="2024-01-11T00:00:00"/>
    <m/>
    <x v="0"/>
    <x v="1"/>
    <x v="0"/>
    <d v="2021-08-25T00:00:00"/>
    <s v="Single"/>
    <x v="3"/>
    <x v="5"/>
    <n v="14"/>
    <x v="4"/>
    <x v="3"/>
  </r>
  <r>
    <x v="0"/>
    <m/>
    <n v="132724"/>
    <s v="Elma Perkins"/>
    <d v="2024-01-23T00:00:00"/>
    <m/>
    <x v="3"/>
    <x v="1"/>
    <x v="0"/>
    <d v="2023-04-05T00:00:00"/>
    <s v="Single"/>
    <x v="3"/>
    <x v="3"/>
    <n v="0.6"/>
    <x v="4"/>
    <x v="3"/>
  </r>
  <r>
    <x v="0"/>
    <m/>
    <n v="136024"/>
    <s v="Irving Good"/>
    <d v="2024-01-23T00:00:00"/>
    <m/>
    <x v="4"/>
    <x v="1"/>
    <x v="0"/>
    <d v="2021-11-24T00:00:00"/>
    <s v="Single"/>
    <x v="2"/>
    <x v="5"/>
    <n v="14"/>
    <x v="4"/>
    <x v="3"/>
  </r>
  <r>
    <x v="0"/>
    <s v="OnRoll"/>
    <n v="186654"/>
    <s v="Carlo Stephens"/>
    <d v="2024-02-01T00:00:00"/>
    <m/>
    <x v="1"/>
    <x v="1"/>
    <x v="1"/>
    <d v="2022-05-27T00:00:00"/>
    <s v="Single"/>
    <x v="3"/>
    <x v="5"/>
    <n v="3.3"/>
    <x v="4"/>
    <x v="3"/>
  </r>
  <r>
    <x v="0"/>
    <m/>
    <n v="140505"/>
    <s v="Fermin Maddox"/>
    <d v="2024-02-01T00:00:00"/>
    <m/>
    <x v="0"/>
    <x v="1"/>
    <x v="1"/>
    <d v="2021-11-04T00:00:00"/>
    <s v="Single"/>
    <x v="3"/>
    <x v="5"/>
    <n v="13"/>
    <x v="4"/>
    <x v="3"/>
  </r>
  <r>
    <x v="0"/>
    <m/>
    <n v="166500"/>
    <s v="Wendell Bonilla"/>
    <d v="2024-02-06T00:00:00"/>
    <m/>
    <x v="1"/>
    <x v="1"/>
    <x v="1"/>
    <d v="2022-12-11T00:00:00"/>
    <s v="Single"/>
    <x v="3"/>
    <x v="2"/>
    <n v="1.5"/>
    <x v="4"/>
    <x v="3"/>
  </r>
  <r>
    <x v="0"/>
    <s v="OnRoll"/>
    <n v="196256"/>
    <s v="Hank Copeland"/>
    <d v="2024-03-15T00:00:00"/>
    <m/>
    <x v="1"/>
    <x v="1"/>
    <x v="1"/>
    <d v="2021-05-03T00:00:00"/>
    <s v="Married"/>
    <x v="3"/>
    <x v="5"/>
    <n v="3"/>
    <x v="4"/>
    <x v="4"/>
  </r>
  <r>
    <x v="0"/>
    <m/>
    <n v="107622"/>
    <s v="Luciano Arnold"/>
    <d v="2024-03-15T00:00:00"/>
    <m/>
    <x v="4"/>
    <x v="1"/>
    <x v="1"/>
    <d v="2021-04-28T00:00:00"/>
    <s v="Single"/>
    <x v="1"/>
    <x v="5"/>
    <n v="13"/>
    <x v="4"/>
    <x v="4"/>
  </r>
  <r>
    <x v="0"/>
    <m/>
    <n v="140845"/>
    <s v="Aimee Freeman"/>
    <d v="2024-03-23T00:00:00"/>
    <m/>
    <x v="2"/>
    <x v="1"/>
    <x v="0"/>
    <d v="2023-06-04T00:00:00"/>
    <s v="Single"/>
    <x v="1"/>
    <x v="5"/>
    <n v="10"/>
    <x v="4"/>
    <x v="4"/>
  </r>
  <r>
    <x v="0"/>
    <m/>
    <n v="196163"/>
    <s v="Jarrett Henson"/>
    <d v="2024-03-23T00:00:00"/>
    <m/>
    <x v="3"/>
    <x v="1"/>
    <x v="0"/>
    <d v="2022-12-16T00:00:00"/>
    <s v="Single"/>
    <x v="3"/>
    <x v="5"/>
    <n v="6.8"/>
    <x v="4"/>
    <x v="4"/>
  </r>
  <r>
    <x v="0"/>
    <m/>
    <n v="143527"/>
    <s v="Garland Barber"/>
    <d v="2024-03-23T00:00:00"/>
    <m/>
    <x v="0"/>
    <x v="1"/>
    <x v="0"/>
    <d v="2021-02-14T00:00:00"/>
    <s v="Married"/>
    <x v="2"/>
    <x v="3"/>
    <n v="7"/>
    <x v="4"/>
    <x v="4"/>
  </r>
  <r>
    <x v="0"/>
    <m/>
    <n v="121781"/>
    <s v="Filiberto Baird"/>
    <d v="2024-03-23T00:00:00"/>
    <m/>
    <x v="0"/>
    <x v="1"/>
    <x v="0"/>
    <d v="2021-03-11T00:00:00"/>
    <s v="Single"/>
    <x v="2"/>
    <x v="3"/>
    <n v="13"/>
    <x v="4"/>
    <x v="4"/>
  </r>
  <r>
    <x v="0"/>
    <s v="OnRoll"/>
    <n v="190716"/>
    <s v="Reed Pena"/>
    <d v="2024-04-03T00:00:00"/>
    <m/>
    <x v="2"/>
    <x v="1"/>
    <x v="1"/>
    <d v="2021-06-15T00:00:00"/>
    <s v="Married"/>
    <x v="3"/>
    <x v="3"/>
    <n v="4"/>
    <x v="4"/>
    <x v="4"/>
  </r>
  <r>
    <x v="0"/>
    <m/>
    <n v="131453"/>
    <s v="Cecile Garner"/>
    <d v="2024-04-03T00:00:00"/>
    <m/>
    <x v="4"/>
    <x v="1"/>
    <x v="0"/>
    <d v="2023-01-14T00:00:00"/>
    <s v="Single"/>
    <x v="3"/>
    <x v="0"/>
    <n v="8"/>
    <x v="4"/>
    <x v="4"/>
  </r>
  <r>
    <x v="0"/>
    <m/>
    <n v="133611"/>
    <s v="Art Kim"/>
    <d v="2024-04-19T00:00:00"/>
    <m/>
    <x v="4"/>
    <x v="1"/>
    <x v="1"/>
    <d v="1999-05-20T00:00:00"/>
    <s v="Single"/>
    <x v="3"/>
    <x v="6"/>
    <n v="0"/>
    <x v="4"/>
    <x v="4"/>
  </r>
  <r>
    <x v="0"/>
    <m/>
    <n v="158773"/>
    <s v="Grover Kramer"/>
    <d v="2024-05-15T00:00:00"/>
    <m/>
    <x v="2"/>
    <x v="1"/>
    <x v="0"/>
    <d v="2023-05-27T00:00:00"/>
    <s v="Single"/>
    <x v="3"/>
    <x v="3"/>
    <n v="3"/>
    <x v="4"/>
    <x v="4"/>
  </r>
  <r>
    <x v="0"/>
    <m/>
    <n v="109333"/>
    <s v="Milan Pope"/>
    <d v="2024-05-22T00:00:00"/>
    <m/>
    <x v="1"/>
    <x v="1"/>
    <x v="0"/>
    <d v="2023-08-04T00:00:00"/>
    <s v="Married"/>
    <x v="1"/>
    <x v="2"/>
    <n v="10"/>
    <x v="4"/>
    <x v="4"/>
  </r>
  <r>
    <x v="0"/>
    <m/>
    <n v="165233"/>
    <s v="Randal Mata"/>
    <d v="2024-06-12T00:00:00"/>
    <m/>
    <x v="1"/>
    <x v="1"/>
    <x v="0"/>
    <d v="2023-04-06T00:00:00"/>
    <s v="Single"/>
    <x v="3"/>
    <x v="3"/>
    <n v="1.2"/>
    <x v="4"/>
    <x v="4"/>
  </r>
  <r>
    <x v="0"/>
    <s v="OnRoll"/>
    <n v="103360"/>
    <s v="Pete Arroyo"/>
    <d v="2024-10-04T00:00:00"/>
    <m/>
    <x v="1"/>
    <x v="1"/>
    <x v="1"/>
    <d v="2001-04-01T00:00:00"/>
    <s v="Single"/>
    <x v="3"/>
    <x v="5"/>
    <n v="0.11"/>
    <x v="4"/>
    <x v="4"/>
  </r>
  <r>
    <x v="0"/>
    <m/>
    <n v="168841"/>
    <s v="Jefferson Perry"/>
    <d v="2024-10-04T00:00:00"/>
    <m/>
    <x v="1"/>
    <x v="1"/>
    <x v="0"/>
    <d v="1982-01-03T00:00:00"/>
    <s v="Married"/>
    <x v="2"/>
    <x v="6"/>
    <n v="19"/>
    <x v="4"/>
    <x v="4"/>
  </r>
  <r>
    <x v="1"/>
    <m/>
    <n v="123680"/>
    <s v="Luna Sanders"/>
    <d v="2025-01-01T00:00:00"/>
    <m/>
    <x v="6"/>
    <x v="1"/>
    <x v="1"/>
    <d v="2021-01-15T00:00:00"/>
    <s v="Single"/>
    <x v="3"/>
    <x v="0"/>
    <n v="0"/>
    <x v="5"/>
    <x v="4"/>
  </r>
  <r>
    <x v="0"/>
    <m/>
    <n v="136555"/>
    <s v="Santos Mooney"/>
    <d v="2025-01-05T00:00:00"/>
    <m/>
    <x v="6"/>
    <x v="1"/>
    <x v="0"/>
    <d v="2021-10-03T00:00:00"/>
    <s v="Married"/>
    <x v="2"/>
    <x v="1"/>
    <n v="5"/>
    <x v="5"/>
    <x v="4"/>
  </r>
  <r>
    <x v="0"/>
    <m/>
    <n v="109886"/>
    <s v="Theodore Dinh"/>
    <d v="2025-01-07T00:00:00"/>
    <m/>
    <x v="6"/>
    <x v="1"/>
    <x v="1"/>
    <d v="2021-12-10T00:00:00"/>
    <s v="Married"/>
    <x v="2"/>
    <x v="0"/>
    <n v="14"/>
    <x v="5"/>
    <x v="4"/>
  </r>
  <r>
    <x v="0"/>
    <m/>
    <n v="135596"/>
    <s v="Austin Vo"/>
    <d v="2025-01-14T00:00:00"/>
    <m/>
    <x v="2"/>
    <x v="1"/>
    <x v="0"/>
    <d v="2021-03-14T00:00:00"/>
    <s v="Single"/>
    <x v="1"/>
    <x v="0"/>
    <n v="0"/>
    <x v="5"/>
    <x v="4"/>
  </r>
  <r>
    <x v="0"/>
    <m/>
    <n v="102045"/>
    <s v="Jermaine Benitez"/>
    <d v="2025-03-04T00:00:00"/>
    <m/>
    <x v="1"/>
    <x v="1"/>
    <x v="1"/>
    <d v="2021-01-20T00:00:00"/>
    <s v="Single"/>
    <x v="2"/>
    <x v="1"/>
    <n v="17"/>
    <x v="5"/>
    <x v="4"/>
  </r>
  <r>
    <x v="0"/>
    <m/>
    <n v="137966"/>
    <s v="Joshua Gupta"/>
    <d v="2025-07-14T00:00:00"/>
    <m/>
    <x v="1"/>
    <x v="1"/>
    <x v="0"/>
    <d v="2021-11-07T00:00:00"/>
    <s v="Married"/>
    <x v="1"/>
    <x v="0"/>
    <n v="9"/>
    <x v="5"/>
    <x v="5"/>
  </r>
  <r>
    <x v="0"/>
    <m/>
    <n v="146341"/>
    <s v="Dave Armstrong"/>
    <d v="2025-07-19T00:00:00"/>
    <m/>
    <x v="1"/>
    <x v="1"/>
    <x v="1"/>
    <d v="2021-01-24T00:00:00"/>
    <s v="Married"/>
    <x v="1"/>
    <x v="0"/>
    <n v="13"/>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86ACFC-DDA6-4490-B99F-2B6FA88A73B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6"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pivotField axis="axisRow" showAll="0">
      <items count="3">
        <item x="1"/>
        <item x="0"/>
        <item t="default"/>
      </items>
    </pivotField>
    <pivotField numFmtId="165" showAll="0"/>
    <pivotField showAll="0"/>
    <pivotField showAll="0"/>
    <pivotField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8"/>
  </rowFields>
  <rowItems count="3">
    <i>
      <x/>
    </i>
    <i>
      <x v="1"/>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0F0CC0-3F25-4F9D-8AD8-1A9374801F33}" name="PivotTable2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I11" firstHeaderRow="1" firstDataRow="2" firstDataCol="1"/>
  <pivotFields count="16">
    <pivotField axis="axisCol"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pivotField showAll="0"/>
    <pivotField numFmtId="165" showAll="0"/>
    <pivotField showAll="0"/>
    <pivotField showAll="0"/>
    <pivotField showAll="0">
      <items count="8">
        <item x="1"/>
        <item x="4"/>
        <item x="5"/>
        <item x="2"/>
        <item x="3"/>
        <item x="0"/>
        <item x="6"/>
        <item t="default"/>
      </items>
    </pivotField>
    <pivotField showAll="0"/>
    <pivotField axis="axisRow" showAll="0">
      <items count="7">
        <item x="0"/>
        <item x="1"/>
        <item x="2"/>
        <item x="3"/>
        <item x="4"/>
        <item x="5"/>
        <item t="default"/>
      </items>
    </pivotField>
    <pivotField showAll="0"/>
  </pivotFields>
  <rowFields count="1">
    <field x="14"/>
  </rowFields>
  <rowItems count="7">
    <i>
      <x/>
    </i>
    <i>
      <x v="1"/>
    </i>
    <i>
      <x v="2"/>
    </i>
    <i>
      <x v="3"/>
    </i>
    <i>
      <x v="4"/>
    </i>
    <i>
      <x v="5"/>
    </i>
    <i t="grand">
      <x/>
    </i>
  </rowItems>
  <colFields count="1">
    <field x="0"/>
  </colFields>
  <colItems count="4">
    <i>
      <x/>
    </i>
    <i>
      <x v="1"/>
    </i>
    <i>
      <x v="2"/>
    </i>
    <i t="grand">
      <x/>
    </i>
  </colItem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C4441-F22B-404B-9E9D-01631940F51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3:AE10"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items count="3">
        <item x="0"/>
        <item x="1"/>
        <item t="default"/>
      </items>
    </pivotField>
    <pivotField showAll="0">
      <items count="3">
        <item x="1"/>
        <item x="0"/>
        <item t="default"/>
      </items>
    </pivotField>
    <pivotField numFmtId="165" showAll="0"/>
    <pivotField showAll="0"/>
    <pivotField showAll="0">
      <items count="5">
        <item x="0"/>
        <item x="2"/>
        <item x="3"/>
        <item x="1"/>
        <item t="default"/>
      </items>
    </pivotField>
    <pivotField showAll="0">
      <items count="8">
        <item x="1"/>
        <item x="4"/>
        <item x="5"/>
        <item x="2"/>
        <item x="3"/>
        <item x="0"/>
        <item x="6"/>
        <item t="default"/>
      </items>
    </pivotField>
    <pivotField showAll="0"/>
    <pivotField showAll="0">
      <items count="7">
        <item x="0"/>
        <item x="1"/>
        <item x="2"/>
        <item x="3"/>
        <item x="4"/>
        <item x="5"/>
        <item t="default"/>
      </items>
    </pivotField>
    <pivotField axis="axisRow" showAll="0" sortType="descending">
      <items count="7">
        <item x="0"/>
        <item x="1"/>
        <item x="2"/>
        <item x="3"/>
        <item x="4"/>
        <item x="5"/>
        <item t="default"/>
      </items>
    </pivotField>
  </pivotFields>
  <rowFields count="1">
    <field x="15"/>
  </rowFields>
  <rowItems count="7">
    <i>
      <x/>
    </i>
    <i>
      <x v="1"/>
    </i>
    <i>
      <x v="2"/>
    </i>
    <i>
      <x v="3"/>
    </i>
    <i>
      <x v="4"/>
    </i>
    <i>
      <x v="5"/>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AC6618-6600-483B-8542-70917E148D1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A6"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axis="axisRow" showAll="0">
      <items count="3">
        <item x="0"/>
        <item x="1"/>
        <item t="default"/>
      </items>
    </pivotField>
    <pivotField showAll="0">
      <items count="3">
        <item x="1"/>
        <item x="0"/>
        <item t="default"/>
      </items>
    </pivotField>
    <pivotField numFmtId="165" showAll="0"/>
    <pivotField showAll="0"/>
    <pivotField showAll="0">
      <items count="5">
        <item x="0"/>
        <item x="2"/>
        <item x="3"/>
        <item x="1"/>
        <item t="default"/>
      </items>
    </pivotField>
    <pivotField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7"/>
  </rowFields>
  <rowItems count="3">
    <i>
      <x/>
    </i>
    <i>
      <x v="1"/>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9A5CB3-0863-4EC8-B4C2-759740ECA3D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11"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axis="axisRow" showAll="0" sortType="descending">
      <items count="8">
        <item x="1"/>
        <item x="0"/>
        <item x="6"/>
        <item x="4"/>
        <item x="3"/>
        <item x="2"/>
        <item x="5"/>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numFmtId="165" showAll="0"/>
    <pivotField showAll="0"/>
    <pivotField showAll="0">
      <items count="5">
        <item x="0"/>
        <item x="2"/>
        <item x="3"/>
        <item x="1"/>
        <item t="default"/>
      </items>
    </pivotField>
    <pivotField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6"/>
  </rowFields>
  <rowItems count="8">
    <i>
      <x/>
    </i>
    <i>
      <x v="3"/>
    </i>
    <i>
      <x v="1"/>
    </i>
    <i>
      <x v="6"/>
    </i>
    <i>
      <x v="5"/>
    </i>
    <i>
      <x v="2"/>
    </i>
    <i>
      <x v="4"/>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D7DBBF-22BE-41FD-9E0F-3EECA0555D0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8"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pivotField showAll="0">
      <items count="3">
        <item x="1"/>
        <item x="0"/>
        <item t="default"/>
      </items>
    </pivotField>
    <pivotField numFmtId="165" showAll="0"/>
    <pivotField showAll="0"/>
    <pivotField axis="axisRow" showAll="0">
      <items count="5">
        <item x="0"/>
        <item x="2"/>
        <item x="3"/>
        <item x="1"/>
        <item t="default"/>
      </items>
    </pivotField>
    <pivotField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11"/>
  </rowFields>
  <rowItems count="5">
    <i>
      <x/>
    </i>
    <i>
      <x v="1"/>
    </i>
    <i>
      <x v="2"/>
    </i>
    <i>
      <x v="3"/>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B65BBB-3A3F-4681-98AD-2690A6D19D9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11" firstHeaderRow="1" firstDataRow="1" firstDataCol="1" rowPageCount="1" colPageCount="1"/>
  <pivotFields count="16">
    <pivotField axis="axisPage" showAll="0">
      <items count="4">
        <item x="1"/>
        <item x="0"/>
        <item x="2"/>
        <item t="default"/>
      </items>
    </pivotField>
    <pivotField showAll="0"/>
    <pivotField showAll="0"/>
    <pivotField dataField="1" showAll="0"/>
    <pivotField numFmtId="164" showAll="0"/>
    <pivotField showAll="0"/>
    <pivotField showAll="0">
      <items count="8">
        <item x="5"/>
        <item x="2"/>
        <item x="3"/>
        <item x="4"/>
        <item x="6"/>
        <item x="0"/>
        <item x="1"/>
        <item t="default"/>
      </items>
    </pivotField>
    <pivotField showAll="0"/>
    <pivotField showAll="0">
      <items count="3">
        <item x="1"/>
        <item x="0"/>
        <item t="default"/>
      </items>
    </pivotField>
    <pivotField numFmtId="165" showAll="0"/>
    <pivotField showAll="0"/>
    <pivotField showAll="0">
      <items count="5">
        <item x="0"/>
        <item x="2"/>
        <item x="3"/>
        <item x="1"/>
        <item t="default"/>
      </items>
    </pivotField>
    <pivotField axis="axisRow" showAll="0">
      <items count="8">
        <item x="1"/>
        <item x="4"/>
        <item x="5"/>
        <item x="2"/>
        <item x="3"/>
        <item x="0"/>
        <item x="6"/>
        <item t="default"/>
      </items>
    </pivotField>
    <pivotField showAll="0"/>
    <pivotField showAll="0">
      <items count="7">
        <item x="0"/>
        <item x="1"/>
        <item x="2"/>
        <item x="3"/>
        <item x="4"/>
        <item x="5"/>
        <item t="default"/>
      </items>
    </pivotField>
    <pivotField showAll="0"/>
  </pivotFields>
  <rowFields count="1">
    <field x="12"/>
  </rowFields>
  <rowItems count="8">
    <i>
      <x/>
    </i>
    <i>
      <x v="1"/>
    </i>
    <i>
      <x v="2"/>
    </i>
    <i>
      <x v="3"/>
    </i>
    <i>
      <x v="4"/>
    </i>
    <i>
      <x v="5"/>
    </i>
    <i>
      <x v="6"/>
    </i>
    <i t="grand">
      <x/>
    </i>
  </rowItems>
  <colItems count="1">
    <i/>
  </colItems>
  <pageFields count="1">
    <pageField fld="0" item="1"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Manager" xr10:uid="{0E7E7EC1-65FC-4FDE-8185-B99E803B8D88}" sourceName="Reporting Manager">
  <pivotTables>
    <pivotTable tabId="6" name="PivotTable4"/>
    <pivotTable tabId="6" name="PivotTable1"/>
    <pivotTable tabId="6" name="PivotTable2"/>
    <pivotTable tabId="6" name="PivotTable25"/>
    <pivotTable tabId="6" name="PivotTable3"/>
    <pivotTable tabId="6" name="PivotTable5"/>
    <pivotTable tabId="6" name="PivotTable6"/>
  </pivotTables>
  <data>
    <tabular pivotCacheId="1721292407">
      <items count="7">
        <i x="5" s="1"/>
        <i x="2" s="1"/>
        <i x="3" s="1"/>
        <i x="4"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6DD935A-4035-4A90-ABF3-E7B21ECA653A}" sourceName="Department">
  <pivotTables>
    <pivotTable tabId="6" name="PivotTable4"/>
    <pivotTable tabId="6" name="PivotTable1"/>
    <pivotTable tabId="6" name="PivotTable2"/>
    <pivotTable tabId="6" name="PivotTable25"/>
    <pivotTable tabId="6" name="PivotTable3"/>
    <pivotTable tabId="6" name="PivotTable5"/>
    <pivotTable tabId="6" name="PivotTable6"/>
  </pivotTables>
  <data>
    <tabular pivotCacheId="1721292407">
      <items count="7">
        <i x="1" s="1"/>
        <i x="4" s="1"/>
        <i x="5" s="1"/>
        <i x="2" s="1"/>
        <i x="3"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ing Manager" xr10:uid="{0774B6E5-2255-48BB-B3E5-A35716633553}" cache="Slicer_Reporting_Manager" caption="Reporting Manager" style="SlicerStyleDark1" rowHeight="247650"/>
  <slicer name="Department" xr10:uid="{22A5DAE2-852B-4EDA-877B-0B69E5F44717}" cache="Slicer_Department" caption="Department"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5476D-495C-4A3A-BB5D-CF8F959FE902}" name="Table2" displayName="Table2" ref="A1:P172" totalsRowShown="0" headerRowDxfId="43" headerRowBorderDxfId="42" tableBorderDxfId="41" totalsRowBorderDxfId="40">
  <autoFilter ref="A1:P172" xr:uid="{69F5476D-495C-4A3A-BB5D-CF8F959FE902}"/>
  <sortState xmlns:xlrd2="http://schemas.microsoft.com/office/spreadsheetml/2017/richdata2" ref="A2:P172">
    <sortCondition ref="H2:H172"/>
  </sortState>
  <tableColumns count="16">
    <tableColumn id="38" xr3:uid="{87B0625C-2963-4A3A-8454-6CE23AC5A7E0}" name="Emp Status" dataDxfId="39"/>
    <tableColumn id="33" xr3:uid="{549A3582-7299-4BC0-98BC-BFE4A799412E}" name="Movement" dataDxfId="38"/>
    <tableColumn id="16" xr3:uid="{623ABE19-A1BB-497C-955E-445B016AD4C3}" name="Emp Id" dataDxfId="37"/>
    <tableColumn id="17" xr3:uid="{F1BEDDA3-4194-4C1B-AEC6-DD3D17C0AF5E}" name="Name" dataDxfId="36"/>
    <tableColumn id="18" xr3:uid="{40167B1E-1D33-41BC-9CDC-05C0624B4800}" name="Date of Joining" dataDxfId="35"/>
    <tableColumn id="39" xr3:uid="{C86505F9-7D4D-4CDF-A2A5-6475E7361026}" name="Data of Relieving" dataDxfId="34"/>
    <tableColumn id="4" xr3:uid="{D4659B5E-63C6-42E6-823F-59DD13C7EBDE}" name="Reporting Manager" dataDxfId="33"/>
    <tableColumn id="19" xr3:uid="{374572AC-5A05-4113-8D02-2AD5BE9FBEDD}" name="Emp Type" dataDxfId="32"/>
    <tableColumn id="20" xr3:uid="{71EF4DD4-2EE1-48E2-8A6E-3E5207C31659}" name="Category" dataDxfId="31"/>
    <tableColumn id="21" xr3:uid="{075A6894-0B48-4450-9C7C-CF8ED4D5D2C8}" name="Date of Birth" dataDxfId="30"/>
    <tableColumn id="22" xr3:uid="{6D9F7490-E077-48EB-9103-4457925E06D7}" name="Marital status" dataDxfId="29"/>
    <tableColumn id="1" xr3:uid="{5FADB1AD-9B91-48DA-A243-16DC9E49FCCF}" name="Grade" dataDxfId="28"/>
    <tableColumn id="2" xr3:uid="{924FF48E-6E59-4C5D-BB67-03CEB785AF15}" name="Department" dataDxfId="27"/>
    <tableColumn id="30" xr3:uid="{0E004753-8E8B-4551-B080-E1A287121E8A}" name="Total Experience" dataDxfId="26"/>
    <tableColumn id="8" xr3:uid="{D34FC480-00ED-444C-82CF-1060600113A1}" name="Year" dataDxfId="25">
      <calculatedColumnFormula>YEAR(Table2[[#This Row],[Date of Joining]])</calculatedColumnFormula>
    </tableColumn>
    <tableColumn id="10" xr3:uid="{76775B67-06F2-40D3-BCFE-EA2A41C4B4CD}" name="Stability" dataDxfId="24">
      <calculatedColumnFormula>IF(DATEDIF(E2,TODAY(),"Y")&gt;=5,"5+ years",
IF(DATEDIF(E2,TODAY(),"Y")&gt;=4,"4+ years",
IF(DATEDIF(E2,TODAY(),"Y")&gt;=3,"3+ years",
IF(DATEDIF(E2,TODAY(),"Y")&gt;=2,"2+ years",
IF(DATEDIF(E2,TODAY(),"Y")&gt;=1,"1+ years","&lt;1 year")))))</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vijay.patil@otis.com" TargetMode="External"/><Relationship Id="rId2" Type="http://schemas.openxmlformats.org/officeDocument/2006/relationships/hyperlink" Target="mailto:Ishwarya.S@otis.com" TargetMode="External"/><Relationship Id="rId1" Type="http://schemas.openxmlformats.org/officeDocument/2006/relationships/hyperlink" Target="mailto:Prashantha.S@otis.com" TargetMode="External"/><Relationship Id="rId5" Type="http://schemas.openxmlformats.org/officeDocument/2006/relationships/table" Target="../tables/table1.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86DC-1540-47D4-8417-D892241985BD}">
  <sheetPr codeName="Sheet1"/>
  <dimension ref="B1:AF23"/>
  <sheetViews>
    <sheetView showGridLines="0" topLeftCell="L4" workbookViewId="0">
      <selection activeCell="V7" sqref="V7"/>
    </sheetView>
  </sheetViews>
  <sheetFormatPr defaultRowHeight="14.4" x14ac:dyDescent="0.3"/>
  <cols>
    <col min="1" max="1" width="2.6640625" customWidth="1"/>
    <col min="2" max="2" width="10.88671875" customWidth="1"/>
    <col min="3" max="3" width="8.33203125" customWidth="1"/>
    <col min="4" max="4" width="1.44140625" customWidth="1"/>
    <col min="5" max="5" width="14" bestFit="1" customWidth="1"/>
    <col min="6" max="6" width="17.33203125" bestFit="1" customWidth="1"/>
    <col min="7" max="7" width="9.33203125" bestFit="1" customWidth="1"/>
    <col min="8" max="8" width="8.109375" bestFit="1" customWidth="1"/>
    <col min="9" max="9" width="11.109375" bestFit="1" customWidth="1"/>
    <col min="10" max="10" width="1.5546875" customWidth="1"/>
    <col min="11" max="12" width="14" bestFit="1" customWidth="1"/>
    <col min="13" max="13" width="6.5546875" customWidth="1"/>
    <col min="14" max="14" width="1.6640625" customWidth="1"/>
    <col min="15" max="16" width="14" bestFit="1" customWidth="1"/>
    <col min="17" max="17" width="6.5546875" customWidth="1"/>
    <col min="18" max="18" width="1.109375" customWidth="1"/>
    <col min="19" max="20" width="14" bestFit="1" customWidth="1"/>
    <col min="21" max="21" width="6.33203125" customWidth="1"/>
    <col min="22" max="22" width="1.33203125" customWidth="1"/>
    <col min="23" max="24" width="14" bestFit="1" customWidth="1"/>
    <col min="25" max="25" width="0.88671875" customWidth="1"/>
    <col min="26" max="27" width="14" bestFit="1" customWidth="1"/>
    <col min="28" max="28" width="6.6640625" customWidth="1"/>
    <col min="30" max="31" width="14" bestFit="1" customWidth="1"/>
    <col min="32" max="32" width="6.6640625" customWidth="1"/>
  </cols>
  <sheetData>
    <row r="1" spans="2:32" x14ac:dyDescent="0.3">
      <c r="K1" s="10" t="s">
        <v>0</v>
      </c>
      <c r="L1" t="s">
        <v>1</v>
      </c>
      <c r="O1" s="10" t="s">
        <v>0</v>
      </c>
      <c r="P1" t="s">
        <v>1</v>
      </c>
      <c r="S1" s="10" t="s">
        <v>0</v>
      </c>
      <c r="T1" t="s">
        <v>1</v>
      </c>
      <c r="W1" s="10" t="s">
        <v>0</v>
      </c>
      <c r="X1" t="s">
        <v>1</v>
      </c>
      <c r="Z1" s="10" t="s">
        <v>0</v>
      </c>
      <c r="AA1" t="s">
        <v>1</v>
      </c>
      <c r="AD1" s="10" t="s">
        <v>0</v>
      </c>
      <c r="AE1" t="s">
        <v>1</v>
      </c>
    </row>
    <row r="3" spans="2:32" x14ac:dyDescent="0.3">
      <c r="E3" s="10" t="s">
        <v>2</v>
      </c>
      <c r="F3" s="10" t="s">
        <v>3</v>
      </c>
      <c r="K3" s="10" t="s">
        <v>4</v>
      </c>
      <c r="L3" t="s">
        <v>2</v>
      </c>
      <c r="O3" s="10" t="s">
        <v>4</v>
      </c>
      <c r="P3" t="s">
        <v>2</v>
      </c>
      <c r="S3" s="10" t="s">
        <v>4</v>
      </c>
      <c r="T3" t="s">
        <v>2</v>
      </c>
      <c r="W3" s="10" t="s">
        <v>4</v>
      </c>
      <c r="X3" t="s">
        <v>2</v>
      </c>
      <c r="Z3" s="10" t="s">
        <v>4</v>
      </c>
      <c r="AA3" t="s">
        <v>2</v>
      </c>
      <c r="AD3" s="10" t="s">
        <v>4</v>
      </c>
      <c r="AE3" t="s">
        <v>2</v>
      </c>
    </row>
    <row r="4" spans="2:32" x14ac:dyDescent="0.3">
      <c r="E4" s="10" t="s">
        <v>4</v>
      </c>
      <c r="F4" t="s">
        <v>5</v>
      </c>
      <c r="G4" t="s">
        <v>1</v>
      </c>
      <c r="H4" t="s">
        <v>6</v>
      </c>
      <c r="I4" t="s">
        <v>7</v>
      </c>
      <c r="K4" s="11" t="s">
        <v>8</v>
      </c>
      <c r="L4">
        <v>45</v>
      </c>
      <c r="O4" s="11" t="s">
        <v>9</v>
      </c>
      <c r="P4">
        <v>13</v>
      </c>
      <c r="S4" s="11" t="s">
        <v>10</v>
      </c>
      <c r="T4">
        <v>9</v>
      </c>
      <c r="W4" s="11" t="s">
        <v>11</v>
      </c>
      <c r="X4">
        <v>42</v>
      </c>
      <c r="Z4" s="11" t="s">
        <v>9</v>
      </c>
      <c r="AA4">
        <v>13</v>
      </c>
      <c r="AD4" s="11" t="s">
        <v>12</v>
      </c>
      <c r="AE4">
        <v>26</v>
      </c>
    </row>
    <row r="5" spans="2:32" x14ac:dyDescent="0.3">
      <c r="E5" s="11">
        <v>2020</v>
      </c>
      <c r="F5">
        <v>20</v>
      </c>
      <c r="G5">
        <v>23</v>
      </c>
      <c r="I5">
        <v>43</v>
      </c>
      <c r="K5" s="11" t="s">
        <v>13</v>
      </c>
      <c r="L5">
        <v>73</v>
      </c>
      <c r="O5" s="11" t="s">
        <v>14</v>
      </c>
      <c r="P5">
        <v>21</v>
      </c>
      <c r="S5" s="11" t="s">
        <v>15</v>
      </c>
      <c r="T5">
        <v>10</v>
      </c>
      <c r="W5" s="11" t="s">
        <v>16</v>
      </c>
      <c r="X5">
        <v>26</v>
      </c>
      <c r="Z5" s="11" t="s">
        <v>17</v>
      </c>
      <c r="AA5">
        <v>105</v>
      </c>
      <c r="AD5" s="11" t="s">
        <v>18</v>
      </c>
      <c r="AE5">
        <v>11</v>
      </c>
    </row>
    <row r="6" spans="2:32" x14ac:dyDescent="0.3">
      <c r="E6" s="11">
        <v>2021</v>
      </c>
      <c r="F6">
        <v>12</v>
      </c>
      <c r="G6">
        <v>12</v>
      </c>
      <c r="H6">
        <v>1</v>
      </c>
      <c r="I6">
        <v>25</v>
      </c>
      <c r="K6" s="11" t="s">
        <v>7</v>
      </c>
      <c r="L6">
        <v>118</v>
      </c>
      <c r="O6" s="11" t="s">
        <v>19</v>
      </c>
      <c r="P6">
        <v>43</v>
      </c>
      <c r="S6" s="11" t="s">
        <v>20</v>
      </c>
      <c r="T6">
        <v>25</v>
      </c>
      <c r="W6" s="11" t="s">
        <v>21</v>
      </c>
      <c r="X6">
        <v>18</v>
      </c>
      <c r="Z6" s="11" t="s">
        <v>7</v>
      </c>
      <c r="AA6">
        <v>118</v>
      </c>
      <c r="AD6" s="11" t="s">
        <v>22</v>
      </c>
      <c r="AE6">
        <v>18</v>
      </c>
    </row>
    <row r="7" spans="2:32" x14ac:dyDescent="0.3">
      <c r="E7" s="11">
        <v>2022</v>
      </c>
      <c r="F7">
        <v>10</v>
      </c>
      <c r="G7">
        <v>19</v>
      </c>
      <c r="H7">
        <v>4</v>
      </c>
      <c r="I7">
        <v>33</v>
      </c>
      <c r="O7" s="11" t="s">
        <v>23</v>
      </c>
      <c r="P7">
        <v>41</v>
      </c>
      <c r="S7" s="11" t="s">
        <v>24</v>
      </c>
      <c r="T7">
        <v>11</v>
      </c>
      <c r="W7" s="11" t="s">
        <v>25</v>
      </c>
      <c r="X7">
        <v>12</v>
      </c>
      <c r="AD7" s="11" t="s">
        <v>26</v>
      </c>
      <c r="AE7">
        <v>38</v>
      </c>
    </row>
    <row r="8" spans="2:32" x14ac:dyDescent="0.3">
      <c r="E8" s="11">
        <v>2023</v>
      </c>
      <c r="F8">
        <v>4</v>
      </c>
      <c r="G8">
        <v>30</v>
      </c>
      <c r="H8">
        <v>1</v>
      </c>
      <c r="I8">
        <v>35</v>
      </c>
      <c r="O8" s="11" t="s">
        <v>7</v>
      </c>
      <c r="P8">
        <v>118</v>
      </c>
      <c r="S8" s="11" t="s">
        <v>27</v>
      </c>
      <c r="T8">
        <v>15</v>
      </c>
      <c r="W8" s="11" t="s">
        <v>28</v>
      </c>
      <c r="X8">
        <v>9</v>
      </c>
      <c r="AD8" s="11" t="s">
        <v>29</v>
      </c>
      <c r="AE8">
        <v>22</v>
      </c>
    </row>
    <row r="9" spans="2:32" x14ac:dyDescent="0.3">
      <c r="E9" s="11">
        <v>2024</v>
      </c>
      <c r="G9">
        <v>25</v>
      </c>
      <c r="I9">
        <v>25</v>
      </c>
      <c r="S9" s="11" t="s">
        <v>30</v>
      </c>
      <c r="T9">
        <v>27</v>
      </c>
      <c r="W9" s="11" t="s">
        <v>31</v>
      </c>
      <c r="X9">
        <v>7</v>
      </c>
      <c r="AD9" s="11" t="s">
        <v>32</v>
      </c>
      <c r="AE9">
        <v>3</v>
      </c>
    </row>
    <row r="10" spans="2:32" x14ac:dyDescent="0.3">
      <c r="E10" s="11">
        <v>2025</v>
      </c>
      <c r="F10">
        <v>1</v>
      </c>
      <c r="G10">
        <v>9</v>
      </c>
      <c r="I10">
        <v>10</v>
      </c>
      <c r="S10" s="11" t="s">
        <v>33</v>
      </c>
      <c r="T10">
        <v>21</v>
      </c>
      <c r="W10" s="11" t="s">
        <v>34</v>
      </c>
      <c r="X10">
        <v>4</v>
      </c>
      <c r="AD10" s="11" t="s">
        <v>7</v>
      </c>
      <c r="AE10">
        <v>118</v>
      </c>
    </row>
    <row r="11" spans="2:32" x14ac:dyDescent="0.3">
      <c r="E11" s="11" t="s">
        <v>7</v>
      </c>
      <c r="F11">
        <v>47</v>
      </c>
      <c r="G11">
        <v>118</v>
      </c>
      <c r="H11">
        <v>6</v>
      </c>
      <c r="I11">
        <v>171</v>
      </c>
      <c r="S11" s="11" t="s">
        <v>7</v>
      </c>
      <c r="T11">
        <v>118</v>
      </c>
      <c r="W11" s="11" t="s">
        <v>7</v>
      </c>
      <c r="X11">
        <v>118</v>
      </c>
    </row>
    <row r="15" spans="2:32" s="12" customFormat="1" x14ac:dyDescent="0.3">
      <c r="B15" s="13" t="s">
        <v>35</v>
      </c>
      <c r="C15" s="13" t="s">
        <v>36</v>
      </c>
      <c r="E15" s="13" t="s">
        <v>37</v>
      </c>
      <c r="F15" s="13" t="s">
        <v>5</v>
      </c>
      <c r="G15" s="13" t="s">
        <v>1</v>
      </c>
      <c r="H15" s="13" t="s">
        <v>6</v>
      </c>
      <c r="I15" s="13" t="s">
        <v>38</v>
      </c>
      <c r="K15" s="13" t="s">
        <v>39</v>
      </c>
      <c r="L15" s="13" t="s">
        <v>40</v>
      </c>
      <c r="M15" s="13" t="s">
        <v>41</v>
      </c>
      <c r="O15" s="13" t="s">
        <v>42</v>
      </c>
      <c r="P15" s="13" t="s">
        <v>40</v>
      </c>
      <c r="Q15" s="13" t="s">
        <v>43</v>
      </c>
      <c r="S15" s="13" t="s">
        <v>44</v>
      </c>
      <c r="T15" s="13" t="s">
        <v>40</v>
      </c>
      <c r="U15" s="13" t="s">
        <v>41</v>
      </c>
      <c r="V15" s="13"/>
      <c r="W15" s="13" t="s">
        <v>45</v>
      </c>
      <c r="X15" s="13" t="s">
        <v>46</v>
      </c>
      <c r="Z15" s="13" t="s">
        <v>47</v>
      </c>
      <c r="AA15" s="13" t="s">
        <v>40</v>
      </c>
      <c r="AB15" s="13" t="s">
        <v>41</v>
      </c>
      <c r="AD15" s="13" t="s">
        <v>48</v>
      </c>
      <c r="AE15" s="13" t="s">
        <v>40</v>
      </c>
      <c r="AF15" s="13" t="s">
        <v>41</v>
      </c>
    </row>
    <row r="16" spans="2:32" x14ac:dyDescent="0.3">
      <c r="B16" s="11" t="s">
        <v>49</v>
      </c>
      <c r="C16" s="12">
        <f>GETPIVOTDATA("Name",$E$3)</f>
        <v>171</v>
      </c>
      <c r="E16" s="12">
        <v>2020</v>
      </c>
      <c r="F16" s="12">
        <f t="shared" ref="F16:F21" si="0">IFERROR(GETPIVOTDATA("Name",$E$3,"Emp Status","Attrition","Year",E16),0)</f>
        <v>20</v>
      </c>
      <c r="G16" s="12">
        <f t="shared" ref="G16:G21" si="1">IFERROR(GETPIVOTDATA("Name",$E$3,"Emp Status","On-Board","Year",E16),0)</f>
        <v>23</v>
      </c>
      <c r="H16" s="12">
        <f t="shared" ref="H16:H21" si="2">IFERROR(GETPIVOTDATA("Name",$E$3,"Emp Status","Transfer","Year",E16),0)</f>
        <v>0</v>
      </c>
      <c r="I16" s="12">
        <f>G16</f>
        <v>23</v>
      </c>
      <c r="K16" s="11" t="s">
        <v>8</v>
      </c>
      <c r="L16" s="12">
        <f>GETPIVOTDATA("Name",$K$3,"Category","Female")</f>
        <v>45</v>
      </c>
      <c r="M16" s="14">
        <f>L16/L18</f>
        <v>0.38135593220338981</v>
      </c>
      <c r="O16" s="11" t="s">
        <v>9</v>
      </c>
      <c r="P16" s="12">
        <f>GETPIVOTDATA("Name",$O$3,"Grade",O16)</f>
        <v>13</v>
      </c>
      <c r="Q16" s="14">
        <f>P16/P20</f>
        <v>0.11016949152542373</v>
      </c>
      <c r="S16" s="11" t="s">
        <v>10</v>
      </c>
      <c r="T16" s="12">
        <f>IFERROR(GETPIVOTDATA("Name",$S$3,"Department",S16),0)</f>
        <v>9</v>
      </c>
      <c r="U16" s="14">
        <f>T16/$T$23</f>
        <v>7.6271186440677971E-2</v>
      </c>
      <c r="W16" t="s">
        <v>11</v>
      </c>
      <c r="X16" s="12">
        <f>IFERROR(GETPIVOTDATA("Name",$W$3,"Reporting Manager",W16),0)</f>
        <v>42</v>
      </c>
      <c r="Z16" t="s">
        <v>9</v>
      </c>
      <c r="AA16" s="12">
        <f>IFERROR(GETPIVOTDATA("Name",$Z$3,"Emp Type",Z16),0)</f>
        <v>13</v>
      </c>
      <c r="AB16" s="14">
        <f>AA16/$AA$18</f>
        <v>0.11016949152542373</v>
      </c>
      <c r="AD16" t="s">
        <v>12</v>
      </c>
      <c r="AE16" s="12">
        <f t="shared" ref="AE16:AE21" si="3">IFERROR(GETPIVOTDATA("Name",$AD$3,"Stability",AD16),0)</f>
        <v>26</v>
      </c>
      <c r="AF16" s="14">
        <f>AE16/$AE$22</f>
        <v>0.22033898305084745</v>
      </c>
    </row>
    <row r="17" spans="2:32" x14ac:dyDescent="0.3">
      <c r="B17" s="11" t="s">
        <v>50</v>
      </c>
      <c r="C17" s="12">
        <f>G22</f>
        <v>118</v>
      </c>
      <c r="E17" s="12">
        <v>2021</v>
      </c>
      <c r="F17" s="12">
        <f t="shared" si="0"/>
        <v>12</v>
      </c>
      <c r="G17" s="12">
        <f t="shared" si="1"/>
        <v>12</v>
      </c>
      <c r="H17" s="12">
        <f t="shared" si="2"/>
        <v>1</v>
      </c>
      <c r="I17" s="12">
        <f>G17+I16</f>
        <v>35</v>
      </c>
      <c r="K17" s="11" t="s">
        <v>13</v>
      </c>
      <c r="L17" s="12">
        <f>GETPIVOTDATA("Name",$K$3,"Category","Male")</f>
        <v>73</v>
      </c>
      <c r="M17" s="14">
        <f>L17/L18</f>
        <v>0.61864406779661019</v>
      </c>
      <c r="O17" s="11" t="s">
        <v>23</v>
      </c>
      <c r="P17" s="12">
        <f>GETPIVOTDATA("Name",$O$3,"Grade",O17)</f>
        <v>41</v>
      </c>
      <c r="Q17" s="14">
        <f>P17/$P$20</f>
        <v>0.34745762711864409</v>
      </c>
      <c r="S17" s="11" t="s">
        <v>15</v>
      </c>
      <c r="T17" s="12">
        <f t="shared" ref="T17:T22" si="4">IFERROR(GETPIVOTDATA("Name",$S$3,"Department",S17),0)</f>
        <v>10</v>
      </c>
      <c r="U17" s="14">
        <f t="shared" ref="U17:U23" si="5">T17/$T$23</f>
        <v>8.4745762711864403E-2</v>
      </c>
      <c r="W17" t="s">
        <v>16</v>
      </c>
      <c r="X17" s="12">
        <f t="shared" ref="X17:X22" si="6">IFERROR(GETPIVOTDATA("Name",$W$3,"Reporting Manager",W17),0)</f>
        <v>26</v>
      </c>
      <c r="Z17" t="s">
        <v>17</v>
      </c>
      <c r="AA17" s="12">
        <f>IFERROR(GETPIVOTDATA("Name",$Z$3,"Emp Type",Z17),0)</f>
        <v>105</v>
      </c>
      <c r="AB17" s="14">
        <f>AA17/$AA$18</f>
        <v>0.88983050847457623</v>
      </c>
      <c r="AD17" t="s">
        <v>18</v>
      </c>
      <c r="AE17" s="12">
        <f t="shared" si="3"/>
        <v>11</v>
      </c>
      <c r="AF17" s="14">
        <f t="shared" ref="AF17:AF22" si="7">AE17/$AE$22</f>
        <v>9.3220338983050849E-2</v>
      </c>
    </row>
    <row r="18" spans="2:32" x14ac:dyDescent="0.3">
      <c r="B18" s="11" t="s">
        <v>5</v>
      </c>
      <c r="C18" s="12">
        <f>F22</f>
        <v>47</v>
      </c>
      <c r="E18" s="12">
        <v>2022</v>
      </c>
      <c r="F18" s="12">
        <f t="shared" si="0"/>
        <v>10</v>
      </c>
      <c r="G18" s="12">
        <f t="shared" si="1"/>
        <v>19</v>
      </c>
      <c r="H18" s="12">
        <f t="shared" si="2"/>
        <v>4</v>
      </c>
      <c r="I18" s="12">
        <f>G18+I17</f>
        <v>54</v>
      </c>
      <c r="K18" s="13" t="s">
        <v>7</v>
      </c>
      <c r="L18" s="13">
        <f>L16+L17</f>
        <v>118</v>
      </c>
      <c r="M18" s="15">
        <f>M16+M17</f>
        <v>1</v>
      </c>
      <c r="O18" s="11" t="s">
        <v>19</v>
      </c>
      <c r="P18" s="12">
        <f>GETPIVOTDATA("Name",$O$3,"Grade",O18)</f>
        <v>43</v>
      </c>
      <c r="Q18" s="14">
        <f>P18/$P$20</f>
        <v>0.36440677966101692</v>
      </c>
      <c r="S18" s="11" t="s">
        <v>20</v>
      </c>
      <c r="T18" s="12">
        <f t="shared" si="4"/>
        <v>25</v>
      </c>
      <c r="U18" s="14">
        <f t="shared" si="5"/>
        <v>0.21186440677966101</v>
      </c>
      <c r="W18" t="s">
        <v>21</v>
      </c>
      <c r="X18" s="12">
        <f t="shared" si="6"/>
        <v>18</v>
      </c>
      <c r="Z18" s="13" t="s">
        <v>7</v>
      </c>
      <c r="AA18" s="13">
        <f>SUM(AA16:AA17)</f>
        <v>118</v>
      </c>
      <c r="AB18" s="13">
        <f>AA18/$AA$18</f>
        <v>1</v>
      </c>
      <c r="AD18" t="s">
        <v>22</v>
      </c>
      <c r="AE18" s="12">
        <f t="shared" si="3"/>
        <v>18</v>
      </c>
      <c r="AF18" s="14">
        <f t="shared" si="7"/>
        <v>0.15254237288135594</v>
      </c>
    </row>
    <row r="19" spans="2:32" x14ac:dyDescent="0.3">
      <c r="B19" s="11" t="s">
        <v>51</v>
      </c>
      <c r="C19" s="14">
        <f>C18/C16</f>
        <v>0.27485380116959063</v>
      </c>
      <c r="E19" s="12">
        <v>2023</v>
      </c>
      <c r="F19" s="12">
        <f t="shared" si="0"/>
        <v>4</v>
      </c>
      <c r="G19" s="12">
        <f t="shared" si="1"/>
        <v>30</v>
      </c>
      <c r="H19" s="12">
        <f t="shared" si="2"/>
        <v>1</v>
      </c>
      <c r="I19" s="12">
        <f>G19+I18</f>
        <v>84</v>
      </c>
      <c r="O19" s="11" t="s">
        <v>14</v>
      </c>
      <c r="P19" s="12">
        <f>GETPIVOTDATA("Name",$O$3,"Grade",O19)</f>
        <v>21</v>
      </c>
      <c r="Q19" s="14">
        <f>P19/$P$20</f>
        <v>0.17796610169491525</v>
      </c>
      <c r="S19" s="11" t="s">
        <v>24</v>
      </c>
      <c r="T19" s="12">
        <f t="shared" si="4"/>
        <v>11</v>
      </c>
      <c r="U19" s="14">
        <f t="shared" si="5"/>
        <v>9.3220338983050849E-2</v>
      </c>
      <c r="W19" t="s">
        <v>25</v>
      </c>
      <c r="X19" s="12">
        <f t="shared" si="6"/>
        <v>12</v>
      </c>
      <c r="AD19" t="s">
        <v>26</v>
      </c>
      <c r="AE19" s="12">
        <f t="shared" si="3"/>
        <v>38</v>
      </c>
      <c r="AF19" s="14">
        <f t="shared" si="7"/>
        <v>0.32203389830508472</v>
      </c>
    </row>
    <row r="20" spans="2:32" x14ac:dyDescent="0.3">
      <c r="B20" s="11" t="s">
        <v>6</v>
      </c>
      <c r="C20" s="12">
        <f>H22</f>
        <v>6</v>
      </c>
      <c r="E20" s="12">
        <v>2024</v>
      </c>
      <c r="F20" s="12">
        <f t="shared" si="0"/>
        <v>0</v>
      </c>
      <c r="G20" s="12">
        <f t="shared" si="1"/>
        <v>25</v>
      </c>
      <c r="H20" s="12">
        <f t="shared" si="2"/>
        <v>0</v>
      </c>
      <c r="I20" s="12">
        <f>G20+I19</f>
        <v>109</v>
      </c>
      <c r="O20" s="13" t="s">
        <v>7</v>
      </c>
      <c r="P20" s="13">
        <f>SUM(P16:P19)</f>
        <v>118</v>
      </c>
      <c r="Q20" s="13">
        <f>P20/$P$20</f>
        <v>1</v>
      </c>
      <c r="S20" s="11" t="s">
        <v>27</v>
      </c>
      <c r="T20" s="12">
        <f t="shared" si="4"/>
        <v>15</v>
      </c>
      <c r="U20" s="14">
        <f t="shared" si="5"/>
        <v>0.1271186440677966</v>
      </c>
      <c r="W20" t="s">
        <v>28</v>
      </c>
      <c r="X20" s="12">
        <f t="shared" si="6"/>
        <v>9</v>
      </c>
      <c r="AD20" t="s">
        <v>29</v>
      </c>
      <c r="AE20" s="12">
        <f t="shared" si="3"/>
        <v>22</v>
      </c>
      <c r="AF20" s="14">
        <f t="shared" si="7"/>
        <v>0.1864406779661017</v>
      </c>
    </row>
    <row r="21" spans="2:32" x14ac:dyDescent="0.3">
      <c r="E21" s="12">
        <v>2025</v>
      </c>
      <c r="F21" s="12">
        <f t="shared" si="0"/>
        <v>1</v>
      </c>
      <c r="G21" s="12">
        <f t="shared" si="1"/>
        <v>9</v>
      </c>
      <c r="H21" s="12">
        <f t="shared" si="2"/>
        <v>0</v>
      </c>
      <c r="I21" s="12">
        <f>G21+I20</f>
        <v>118</v>
      </c>
      <c r="S21" s="11" t="s">
        <v>30</v>
      </c>
      <c r="T21" s="12">
        <f t="shared" si="4"/>
        <v>27</v>
      </c>
      <c r="U21" s="14">
        <f t="shared" si="5"/>
        <v>0.2288135593220339</v>
      </c>
      <c r="W21" t="s">
        <v>31</v>
      </c>
      <c r="X21" s="12">
        <f t="shared" si="6"/>
        <v>7</v>
      </c>
      <c r="AD21" t="s">
        <v>32</v>
      </c>
      <c r="AE21" s="12">
        <f t="shared" si="3"/>
        <v>3</v>
      </c>
      <c r="AF21" s="14">
        <f t="shared" si="7"/>
        <v>2.5423728813559324E-2</v>
      </c>
    </row>
    <row r="22" spans="2:32" x14ac:dyDescent="0.3">
      <c r="E22" s="13" t="s">
        <v>7</v>
      </c>
      <c r="F22" s="13">
        <v>47</v>
      </c>
      <c r="G22" s="13">
        <v>118</v>
      </c>
      <c r="H22" s="13">
        <v>6</v>
      </c>
      <c r="I22" s="13">
        <v>118</v>
      </c>
      <c r="S22" s="11" t="s">
        <v>33</v>
      </c>
      <c r="T22" s="12">
        <f t="shared" si="4"/>
        <v>21</v>
      </c>
      <c r="U22" s="14">
        <f t="shared" si="5"/>
        <v>0.17796610169491525</v>
      </c>
      <c r="W22" t="s">
        <v>34</v>
      </c>
      <c r="X22" s="12">
        <f t="shared" si="6"/>
        <v>4</v>
      </c>
      <c r="AD22" t="s">
        <v>7</v>
      </c>
      <c r="AE22" s="12">
        <f>SUM(AE16:AE21)</f>
        <v>118</v>
      </c>
      <c r="AF22" s="14">
        <f t="shared" si="7"/>
        <v>1</v>
      </c>
    </row>
    <row r="23" spans="2:32" x14ac:dyDescent="0.3">
      <c r="S23" s="13" t="s">
        <v>7</v>
      </c>
      <c r="T23" s="13">
        <f>SUM(T16:T22)</f>
        <v>118</v>
      </c>
      <c r="U23" s="13">
        <f t="shared" si="5"/>
        <v>1</v>
      </c>
      <c r="W23" s="13" t="s">
        <v>7</v>
      </c>
      <c r="X23" s="13">
        <f>SUM(X16:X22)</f>
        <v>118</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E79A-0F2D-458C-9CA5-8EDF74CD80BB}">
  <sheetPr codeName="Sheet2">
    <tabColor theme="7" tint="-0.499984740745262"/>
  </sheetPr>
  <dimension ref="A1"/>
  <sheetViews>
    <sheetView showGridLines="0" topLeftCell="A6" zoomScaleNormal="100" workbookViewId="0">
      <selection activeCell="V19" sqref="V1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5E888-6FA6-4368-A4D2-2B51B2CD03BB}">
  <sheetPr codeName="Sheet3"/>
  <dimension ref="A1:P172"/>
  <sheetViews>
    <sheetView tabSelected="1" workbookViewId="0">
      <selection activeCell="K17" sqref="K17"/>
    </sheetView>
  </sheetViews>
  <sheetFormatPr defaultRowHeight="14.4" x14ac:dyDescent="0.3"/>
  <cols>
    <col min="10" max="10" width="15.44140625" customWidth="1"/>
  </cols>
  <sheetData>
    <row r="1" spans="1:16" ht="41.4" x14ac:dyDescent="0.3">
      <c r="A1" s="1" t="s">
        <v>0</v>
      </c>
      <c r="B1" s="1" t="s">
        <v>52</v>
      </c>
      <c r="C1" s="1" t="s">
        <v>53</v>
      </c>
      <c r="D1" s="1" t="s">
        <v>54</v>
      </c>
      <c r="E1" s="1" t="s">
        <v>55</v>
      </c>
      <c r="F1" s="1" t="s">
        <v>56</v>
      </c>
      <c r="G1" s="1" t="s">
        <v>57</v>
      </c>
      <c r="H1" s="1" t="s">
        <v>47</v>
      </c>
      <c r="I1" s="1" t="s">
        <v>58</v>
      </c>
      <c r="J1" s="1" t="s">
        <v>59</v>
      </c>
      <c r="K1" s="1" t="s">
        <v>60</v>
      </c>
      <c r="L1" s="1" t="s">
        <v>61</v>
      </c>
      <c r="M1" s="2" t="s">
        <v>62</v>
      </c>
      <c r="N1" s="1" t="s">
        <v>63</v>
      </c>
      <c r="O1" s="1" t="s">
        <v>37</v>
      </c>
      <c r="P1" s="1" t="s">
        <v>48</v>
      </c>
    </row>
    <row r="2" spans="1:16" x14ac:dyDescent="0.3">
      <c r="A2" s="3" t="s">
        <v>1</v>
      </c>
      <c r="B2" s="3" t="s">
        <v>64</v>
      </c>
      <c r="C2" s="4" t="s">
        <v>65</v>
      </c>
      <c r="D2" s="5" t="s">
        <v>66</v>
      </c>
      <c r="E2" s="6">
        <v>43950</v>
      </c>
      <c r="F2" s="6"/>
      <c r="G2" s="7" t="s">
        <v>21</v>
      </c>
      <c r="H2" s="4" t="s">
        <v>9</v>
      </c>
      <c r="I2" s="4" t="s">
        <v>13</v>
      </c>
      <c r="J2" s="8">
        <v>44390</v>
      </c>
      <c r="K2" s="8" t="s">
        <v>67</v>
      </c>
      <c r="L2" s="5" t="s">
        <v>9</v>
      </c>
      <c r="M2" s="5" t="s">
        <v>30</v>
      </c>
      <c r="N2" s="5">
        <v>0</v>
      </c>
      <c r="O2" s="9">
        <f>YEAR(Table2[[#This Row],[Date of Joining]])</f>
        <v>2020</v>
      </c>
      <c r="P2" s="9" t="str">
        <f t="shared" ref="P2:P65" ca="1" si="0">IF(DATEDIF(E2,TODAY(),"Y")&gt;=5,"5+ years",
IF(DATEDIF(E2,TODAY(),"Y")&gt;=4,"4+ years",
IF(DATEDIF(E2,TODAY(),"Y")&gt;=3,"3+ years",
IF(DATEDIF(E2,TODAY(),"Y")&gt;=2,"2+ years",
IF(DATEDIF(E2,TODAY(),"Y")&gt;=1,"1+ years","&lt;1 year")))))</f>
        <v>5+ years</v>
      </c>
    </row>
    <row r="3" spans="1:16" x14ac:dyDescent="0.3">
      <c r="A3" s="3" t="s">
        <v>5</v>
      </c>
      <c r="B3" s="3"/>
      <c r="C3" s="4" t="s">
        <v>68</v>
      </c>
      <c r="D3" s="5" t="s">
        <v>69</v>
      </c>
      <c r="E3" s="6">
        <v>44075</v>
      </c>
      <c r="F3" s="6">
        <v>44183</v>
      </c>
      <c r="G3" s="7" t="s">
        <v>21</v>
      </c>
      <c r="H3" s="4" t="s">
        <v>9</v>
      </c>
      <c r="I3" s="4" t="s">
        <v>13</v>
      </c>
      <c r="J3" s="8">
        <v>44472</v>
      </c>
      <c r="K3" s="8" t="s">
        <v>70</v>
      </c>
      <c r="L3" s="5" t="s">
        <v>23</v>
      </c>
      <c r="M3" s="5" t="s">
        <v>10</v>
      </c>
      <c r="N3" s="5">
        <v>6.5</v>
      </c>
      <c r="O3" s="9">
        <f>YEAR(Table2[[#This Row],[Date of Joining]])</f>
        <v>2020</v>
      </c>
      <c r="P3" s="9" t="str">
        <f t="shared" ca="1" si="0"/>
        <v>5+ years</v>
      </c>
    </row>
    <row r="4" spans="1:16" x14ac:dyDescent="0.3">
      <c r="A4" s="3" t="s">
        <v>1</v>
      </c>
      <c r="B4" s="3"/>
      <c r="C4" s="4" t="s">
        <v>71</v>
      </c>
      <c r="D4" s="5" t="s">
        <v>72</v>
      </c>
      <c r="E4" s="6">
        <v>44197</v>
      </c>
      <c r="F4" s="6"/>
      <c r="G4" s="7" t="s">
        <v>21</v>
      </c>
      <c r="H4" s="4" t="s">
        <v>9</v>
      </c>
      <c r="I4" s="4" t="s">
        <v>13</v>
      </c>
      <c r="J4" s="8">
        <v>44236</v>
      </c>
      <c r="K4" s="8" t="s">
        <v>67</v>
      </c>
      <c r="L4" s="5" t="s">
        <v>9</v>
      </c>
      <c r="M4" s="5" t="s">
        <v>30</v>
      </c>
      <c r="N4" s="5">
        <v>4.8</v>
      </c>
      <c r="O4" s="9">
        <f>YEAR(Table2[[#This Row],[Date of Joining]])</f>
        <v>2021</v>
      </c>
      <c r="P4" s="9" t="str">
        <f t="shared" ca="1" si="0"/>
        <v>5+ years</v>
      </c>
    </row>
    <row r="5" spans="1:16" x14ac:dyDescent="0.3">
      <c r="A5" s="3" t="s">
        <v>1</v>
      </c>
      <c r="B5" s="3"/>
      <c r="C5" s="4" t="s">
        <v>73</v>
      </c>
      <c r="D5" s="5" t="s">
        <v>74</v>
      </c>
      <c r="E5" s="6">
        <v>44236</v>
      </c>
      <c r="F5" s="6"/>
      <c r="G5" s="7" t="s">
        <v>21</v>
      </c>
      <c r="H5" s="4" t="s">
        <v>9</v>
      </c>
      <c r="I5" s="4" t="s">
        <v>13</v>
      </c>
      <c r="J5" s="8">
        <v>44269</v>
      </c>
      <c r="K5" s="8" t="s">
        <v>67</v>
      </c>
      <c r="L5" s="5" t="s">
        <v>9</v>
      </c>
      <c r="M5" s="5" t="s">
        <v>24</v>
      </c>
      <c r="N5" s="5">
        <v>14</v>
      </c>
      <c r="O5" s="9">
        <f>YEAR(Table2[[#This Row],[Date of Joining]])</f>
        <v>2021</v>
      </c>
      <c r="P5" s="9" t="str">
        <f t="shared" ca="1" si="0"/>
        <v>5+ years</v>
      </c>
    </row>
    <row r="6" spans="1:16" x14ac:dyDescent="0.3">
      <c r="A6" s="3" t="s">
        <v>5</v>
      </c>
      <c r="B6" s="3"/>
      <c r="C6" s="4" t="s">
        <v>75</v>
      </c>
      <c r="D6" s="5" t="s">
        <v>76</v>
      </c>
      <c r="E6" s="6">
        <v>44469</v>
      </c>
      <c r="F6" s="6">
        <v>44834</v>
      </c>
      <c r="G6" s="7" t="s">
        <v>11</v>
      </c>
      <c r="H6" s="4" t="s">
        <v>9</v>
      </c>
      <c r="I6" s="4" t="s">
        <v>8</v>
      </c>
      <c r="J6" s="8">
        <v>44297</v>
      </c>
      <c r="K6" s="8" t="s">
        <v>67</v>
      </c>
      <c r="L6" s="5" t="s">
        <v>9</v>
      </c>
      <c r="M6" s="5" t="s">
        <v>27</v>
      </c>
      <c r="N6" s="5">
        <v>0</v>
      </c>
      <c r="O6" s="9">
        <f>YEAR(Table2[[#This Row],[Date of Joining]])</f>
        <v>2021</v>
      </c>
      <c r="P6" s="9" t="str">
        <f t="shared" ca="1" si="0"/>
        <v>4+ years</v>
      </c>
    </row>
    <row r="7" spans="1:16" x14ac:dyDescent="0.3">
      <c r="A7" s="3" t="s">
        <v>5</v>
      </c>
      <c r="B7" s="3"/>
      <c r="C7" s="4" t="s">
        <v>77</v>
      </c>
      <c r="D7" s="5" t="s">
        <v>78</v>
      </c>
      <c r="E7" s="6">
        <v>44655</v>
      </c>
      <c r="F7" s="6">
        <v>44758</v>
      </c>
      <c r="G7" s="5" t="s">
        <v>28</v>
      </c>
      <c r="H7" s="4" t="s">
        <v>9</v>
      </c>
      <c r="I7" s="4" t="s">
        <v>13</v>
      </c>
      <c r="J7" s="8">
        <v>44431</v>
      </c>
      <c r="K7" s="8" t="s">
        <v>67</v>
      </c>
      <c r="L7" s="5" t="s">
        <v>9</v>
      </c>
      <c r="M7" s="5" t="s">
        <v>15</v>
      </c>
      <c r="N7" s="5">
        <v>2</v>
      </c>
      <c r="O7" s="9">
        <f>YEAR(Table2[[#This Row],[Date of Joining]])</f>
        <v>2022</v>
      </c>
      <c r="P7" s="9" t="str">
        <f t="shared" ca="1" si="0"/>
        <v>3+ years</v>
      </c>
    </row>
    <row r="8" spans="1:16" x14ac:dyDescent="0.3">
      <c r="A8" s="3" t="s">
        <v>5</v>
      </c>
      <c r="B8" s="3"/>
      <c r="C8" s="4" t="s">
        <v>79</v>
      </c>
      <c r="D8" s="5" t="s">
        <v>80</v>
      </c>
      <c r="E8" s="6">
        <v>44715</v>
      </c>
      <c r="F8" s="6">
        <v>44951</v>
      </c>
      <c r="G8" s="7" t="s">
        <v>11</v>
      </c>
      <c r="H8" s="4" t="s">
        <v>9</v>
      </c>
      <c r="I8" s="4" t="s">
        <v>13</v>
      </c>
      <c r="J8" s="8">
        <v>44226</v>
      </c>
      <c r="K8" s="8" t="s">
        <v>67</v>
      </c>
      <c r="L8" s="5" t="s">
        <v>9</v>
      </c>
      <c r="M8" s="5" t="s">
        <v>27</v>
      </c>
      <c r="N8" s="5">
        <v>2.8</v>
      </c>
      <c r="O8" s="9">
        <f>YEAR(Table2[[#This Row],[Date of Joining]])</f>
        <v>2022</v>
      </c>
      <c r="P8" s="9" t="str">
        <f t="shared" ca="1" si="0"/>
        <v>3+ years</v>
      </c>
    </row>
    <row r="9" spans="1:16" x14ac:dyDescent="0.3">
      <c r="A9" s="3" t="s">
        <v>5</v>
      </c>
      <c r="B9" s="3"/>
      <c r="C9" s="4" t="s">
        <v>81</v>
      </c>
      <c r="D9" s="5" t="s">
        <v>82</v>
      </c>
      <c r="E9" s="6">
        <v>44721</v>
      </c>
      <c r="F9" s="6">
        <v>45149</v>
      </c>
      <c r="G9" s="7" t="s">
        <v>11</v>
      </c>
      <c r="H9" s="4" t="s">
        <v>9</v>
      </c>
      <c r="I9" s="4" t="s">
        <v>13</v>
      </c>
      <c r="J9" s="8">
        <v>44497</v>
      </c>
      <c r="K9" s="8" t="s">
        <v>67</v>
      </c>
      <c r="L9" s="5" t="s">
        <v>9</v>
      </c>
      <c r="M9" s="5" t="s">
        <v>20</v>
      </c>
      <c r="N9" s="5">
        <v>0</v>
      </c>
      <c r="O9" s="9">
        <f>YEAR(Table2[[#This Row],[Date of Joining]])</f>
        <v>2022</v>
      </c>
      <c r="P9" s="9" t="str">
        <f t="shared" ca="1" si="0"/>
        <v>3+ years</v>
      </c>
    </row>
    <row r="10" spans="1:16" x14ac:dyDescent="0.3">
      <c r="A10" s="3" t="s">
        <v>5</v>
      </c>
      <c r="B10" s="3"/>
      <c r="C10" s="4" t="s">
        <v>83</v>
      </c>
      <c r="D10" s="5" t="s">
        <v>84</v>
      </c>
      <c r="E10" s="6">
        <v>44749</v>
      </c>
      <c r="F10" s="6">
        <v>45168</v>
      </c>
      <c r="G10" s="5" t="s">
        <v>34</v>
      </c>
      <c r="H10" s="4" t="s">
        <v>9</v>
      </c>
      <c r="I10" s="4" t="s">
        <v>13</v>
      </c>
      <c r="J10" s="8">
        <v>44556</v>
      </c>
      <c r="K10" s="8" t="s">
        <v>67</v>
      </c>
      <c r="L10" s="5" t="s">
        <v>9</v>
      </c>
      <c r="M10" s="5" t="s">
        <v>20</v>
      </c>
      <c r="N10" s="5">
        <v>3</v>
      </c>
      <c r="O10" s="9">
        <f>YEAR(Table2[[#This Row],[Date of Joining]])</f>
        <v>2022</v>
      </c>
      <c r="P10" s="9" t="str">
        <f t="shared" ca="1" si="0"/>
        <v>3+ years</v>
      </c>
    </row>
    <row r="11" spans="1:16" x14ac:dyDescent="0.3">
      <c r="A11" s="3" t="s">
        <v>5</v>
      </c>
      <c r="B11" s="3"/>
      <c r="C11" s="4" t="s">
        <v>85</v>
      </c>
      <c r="D11" s="5" t="s">
        <v>86</v>
      </c>
      <c r="E11" s="6">
        <v>44777</v>
      </c>
      <c r="F11" s="6">
        <v>45059</v>
      </c>
      <c r="G11" s="7" t="s">
        <v>11</v>
      </c>
      <c r="H11" s="4" t="s">
        <v>9</v>
      </c>
      <c r="I11" s="4" t="s">
        <v>13</v>
      </c>
      <c r="J11" s="8">
        <v>44293</v>
      </c>
      <c r="K11" s="8" t="s">
        <v>67</v>
      </c>
      <c r="L11" s="5" t="s">
        <v>9</v>
      </c>
      <c r="M11" s="5" t="s">
        <v>24</v>
      </c>
      <c r="N11" s="5">
        <v>5.9</v>
      </c>
      <c r="O11" s="9">
        <f>YEAR(Table2[[#This Row],[Date of Joining]])</f>
        <v>2022</v>
      </c>
      <c r="P11" s="9" t="str">
        <f t="shared" ca="1" si="0"/>
        <v>3+ years</v>
      </c>
    </row>
    <row r="12" spans="1:16" x14ac:dyDescent="0.3">
      <c r="A12" s="3" t="s">
        <v>1</v>
      </c>
      <c r="B12" s="3"/>
      <c r="C12" s="4" t="s">
        <v>87</v>
      </c>
      <c r="D12" s="5" t="s">
        <v>88</v>
      </c>
      <c r="E12" s="6">
        <v>44805</v>
      </c>
      <c r="F12" s="6"/>
      <c r="G12" s="7" t="s">
        <v>16</v>
      </c>
      <c r="H12" s="4" t="s">
        <v>9</v>
      </c>
      <c r="I12" s="4" t="s">
        <v>13</v>
      </c>
      <c r="J12" s="8">
        <v>44487</v>
      </c>
      <c r="K12" s="8" t="s">
        <v>70</v>
      </c>
      <c r="L12" s="5" t="s">
        <v>9</v>
      </c>
      <c r="M12" s="5" t="s">
        <v>15</v>
      </c>
      <c r="N12" s="5">
        <v>10</v>
      </c>
      <c r="O12" s="9">
        <f>YEAR(Table2[[#This Row],[Date of Joining]])</f>
        <v>2022</v>
      </c>
      <c r="P12" s="9" t="str">
        <f t="shared" ca="1" si="0"/>
        <v>3+ years</v>
      </c>
    </row>
    <row r="13" spans="1:16" x14ac:dyDescent="0.3">
      <c r="A13" s="3" t="s">
        <v>5</v>
      </c>
      <c r="B13" s="3"/>
      <c r="C13" s="4" t="s">
        <v>89</v>
      </c>
      <c r="D13" s="5" t="s">
        <v>90</v>
      </c>
      <c r="E13" s="6">
        <v>44812</v>
      </c>
      <c r="F13" s="6">
        <v>45290</v>
      </c>
      <c r="G13" s="7" t="s">
        <v>16</v>
      </c>
      <c r="H13" s="4" t="s">
        <v>9</v>
      </c>
      <c r="I13" s="4" t="s">
        <v>8</v>
      </c>
      <c r="J13" s="8">
        <v>44312</v>
      </c>
      <c r="K13" s="8" t="s">
        <v>67</v>
      </c>
      <c r="L13" s="5" t="s">
        <v>9</v>
      </c>
      <c r="M13" s="5" t="s">
        <v>27</v>
      </c>
      <c r="N13" s="5">
        <v>1</v>
      </c>
      <c r="O13" s="9">
        <f>YEAR(Table2[[#This Row],[Date of Joining]])</f>
        <v>2022</v>
      </c>
      <c r="P13" s="9" t="str">
        <f t="shared" ca="1" si="0"/>
        <v>3+ years</v>
      </c>
    </row>
    <row r="14" spans="1:16" x14ac:dyDescent="0.3">
      <c r="A14" s="3" t="s">
        <v>1</v>
      </c>
      <c r="B14" s="3"/>
      <c r="C14" s="4" t="s">
        <v>91</v>
      </c>
      <c r="D14" s="5" t="s">
        <v>92</v>
      </c>
      <c r="E14" s="6">
        <v>44873</v>
      </c>
      <c r="F14" s="6"/>
      <c r="G14" s="7" t="s">
        <v>16</v>
      </c>
      <c r="H14" s="4" t="s">
        <v>9</v>
      </c>
      <c r="I14" s="4" t="s">
        <v>13</v>
      </c>
      <c r="J14" s="8">
        <v>44496</v>
      </c>
      <c r="K14" s="8" t="s">
        <v>70</v>
      </c>
      <c r="L14" s="5" t="s">
        <v>9</v>
      </c>
      <c r="M14" s="5" t="s">
        <v>33</v>
      </c>
      <c r="N14" s="5">
        <v>10</v>
      </c>
      <c r="O14" s="9">
        <f>YEAR(Table2[[#This Row],[Date of Joining]])</f>
        <v>2022</v>
      </c>
      <c r="P14" s="9" t="str">
        <f t="shared" ca="1" si="0"/>
        <v>3+ years</v>
      </c>
    </row>
    <row r="15" spans="1:16" x14ac:dyDescent="0.3">
      <c r="A15" s="3" t="s">
        <v>5</v>
      </c>
      <c r="B15" s="3"/>
      <c r="C15" s="4" t="s">
        <v>93</v>
      </c>
      <c r="D15" s="5" t="s">
        <v>94</v>
      </c>
      <c r="E15" s="6">
        <v>44947</v>
      </c>
      <c r="F15" s="6">
        <v>45251</v>
      </c>
      <c r="G15" s="7" t="s">
        <v>25</v>
      </c>
      <c r="H15" s="4" t="s">
        <v>9</v>
      </c>
      <c r="I15" s="4" t="s">
        <v>13</v>
      </c>
      <c r="J15" s="8">
        <v>44445</v>
      </c>
      <c r="K15" s="8" t="s">
        <v>67</v>
      </c>
      <c r="L15" s="5" t="s">
        <v>9</v>
      </c>
      <c r="M15" s="5" t="s">
        <v>27</v>
      </c>
      <c r="N15" s="5">
        <v>0</v>
      </c>
      <c r="O15" s="9">
        <f>YEAR(Table2[[#This Row],[Date of Joining]])</f>
        <v>2023</v>
      </c>
      <c r="P15" s="9" t="str">
        <f t="shared" ca="1" si="0"/>
        <v>3+ years</v>
      </c>
    </row>
    <row r="16" spans="1:16" x14ac:dyDescent="0.3">
      <c r="A16" s="3" t="s">
        <v>5</v>
      </c>
      <c r="B16" s="3"/>
      <c r="C16" s="4" t="s">
        <v>95</v>
      </c>
      <c r="D16" s="5" t="s">
        <v>96</v>
      </c>
      <c r="E16" s="6">
        <v>45083</v>
      </c>
      <c r="F16" s="6">
        <v>45415</v>
      </c>
      <c r="G16" s="7" t="s">
        <v>25</v>
      </c>
      <c r="H16" s="4" t="s">
        <v>9</v>
      </c>
      <c r="I16" s="4" t="s">
        <v>8</v>
      </c>
      <c r="J16" s="8">
        <v>44620</v>
      </c>
      <c r="K16" s="8" t="s">
        <v>67</v>
      </c>
      <c r="L16" s="5" t="s">
        <v>9</v>
      </c>
      <c r="M16" s="5" t="s">
        <v>20</v>
      </c>
      <c r="N16" s="5">
        <v>0.1</v>
      </c>
      <c r="O16" s="9">
        <f>YEAR(Table2[[#This Row],[Date of Joining]])</f>
        <v>2023</v>
      </c>
      <c r="P16" s="9" t="str">
        <f t="shared" ca="1" si="0"/>
        <v>2+ years</v>
      </c>
    </row>
    <row r="17" spans="1:16" x14ac:dyDescent="0.3">
      <c r="A17" s="3" t="s">
        <v>1</v>
      </c>
      <c r="B17" s="3"/>
      <c r="C17" s="4" t="s">
        <v>97</v>
      </c>
      <c r="D17" s="5" t="s">
        <v>98</v>
      </c>
      <c r="E17" s="6">
        <v>45218</v>
      </c>
      <c r="F17" s="6"/>
      <c r="G17" s="7" t="s">
        <v>25</v>
      </c>
      <c r="H17" s="4" t="s">
        <v>9</v>
      </c>
      <c r="I17" s="4" t="s">
        <v>8</v>
      </c>
      <c r="J17" s="8">
        <v>44830</v>
      </c>
      <c r="K17" s="8" t="s">
        <v>67</v>
      </c>
      <c r="L17" s="5" t="s">
        <v>9</v>
      </c>
      <c r="M17" s="5" t="s">
        <v>20</v>
      </c>
      <c r="N17" s="5">
        <v>0</v>
      </c>
      <c r="O17" s="9">
        <f>YEAR(Table2[[#This Row],[Date of Joining]])</f>
        <v>2023</v>
      </c>
      <c r="P17" s="9" t="str">
        <f t="shared" ca="1" si="0"/>
        <v>2+ years</v>
      </c>
    </row>
    <row r="18" spans="1:16" x14ac:dyDescent="0.3">
      <c r="A18" s="3" t="s">
        <v>1</v>
      </c>
      <c r="B18" s="3"/>
      <c r="C18" s="4" t="s">
        <v>99</v>
      </c>
      <c r="D18" s="5" t="s">
        <v>100</v>
      </c>
      <c r="E18" s="6">
        <v>45274</v>
      </c>
      <c r="F18" s="6"/>
      <c r="G18" s="7" t="s">
        <v>25</v>
      </c>
      <c r="H18" s="4" t="s">
        <v>9</v>
      </c>
      <c r="I18" s="4" t="s">
        <v>8</v>
      </c>
      <c r="J18" s="8">
        <v>44877</v>
      </c>
      <c r="K18" s="8" t="s">
        <v>67</v>
      </c>
      <c r="L18" s="5" t="s">
        <v>9</v>
      </c>
      <c r="M18" s="5" t="s">
        <v>24</v>
      </c>
      <c r="N18" s="5">
        <v>4</v>
      </c>
      <c r="O18" s="9">
        <f>YEAR(Table2[[#This Row],[Date of Joining]])</f>
        <v>2023</v>
      </c>
      <c r="P18" s="9" t="str">
        <f t="shared" ca="1" si="0"/>
        <v>2+ years</v>
      </c>
    </row>
    <row r="19" spans="1:16" x14ac:dyDescent="0.3">
      <c r="A19" s="3" t="s">
        <v>1</v>
      </c>
      <c r="B19" s="3"/>
      <c r="C19" s="4" t="s">
        <v>101</v>
      </c>
      <c r="D19" s="5" t="s">
        <v>102</v>
      </c>
      <c r="E19" s="6">
        <v>45328</v>
      </c>
      <c r="F19" s="6"/>
      <c r="G19" s="7" t="s">
        <v>21</v>
      </c>
      <c r="H19" s="4" t="s">
        <v>9</v>
      </c>
      <c r="I19" s="4" t="s">
        <v>13</v>
      </c>
      <c r="J19" s="8">
        <v>44558</v>
      </c>
      <c r="K19" s="8" t="s">
        <v>67</v>
      </c>
      <c r="L19" s="5" t="s">
        <v>9</v>
      </c>
      <c r="M19" s="5" t="s">
        <v>20</v>
      </c>
      <c r="N19" s="5">
        <v>0</v>
      </c>
      <c r="O19" s="9">
        <f>YEAR(Table2[[#This Row],[Date of Joining]])</f>
        <v>2024</v>
      </c>
      <c r="P19" s="9" t="str">
        <f t="shared" ca="1" si="0"/>
        <v>2+ years</v>
      </c>
    </row>
    <row r="20" spans="1:16" x14ac:dyDescent="0.3">
      <c r="A20" s="3" t="s">
        <v>1</v>
      </c>
      <c r="B20" s="3"/>
      <c r="C20" s="4" t="s">
        <v>103</v>
      </c>
      <c r="D20" s="5" t="s">
        <v>104</v>
      </c>
      <c r="E20" s="6">
        <v>45378</v>
      </c>
      <c r="F20" s="6"/>
      <c r="G20" s="7" t="s">
        <v>25</v>
      </c>
      <c r="H20" s="4" t="s">
        <v>9</v>
      </c>
      <c r="I20" s="4" t="s">
        <v>13</v>
      </c>
      <c r="J20" s="8">
        <v>37686</v>
      </c>
      <c r="K20" s="8" t="s">
        <v>70</v>
      </c>
      <c r="L20" s="5" t="s">
        <v>9</v>
      </c>
      <c r="M20" s="5" t="s">
        <v>27</v>
      </c>
      <c r="N20" s="5">
        <v>10</v>
      </c>
      <c r="O20" s="9">
        <f>YEAR(Table2[[#This Row],[Date of Joining]])</f>
        <v>2024</v>
      </c>
      <c r="P20" s="9" t="str">
        <f t="shared" ca="1" si="0"/>
        <v>1+ years</v>
      </c>
    </row>
    <row r="21" spans="1:16" x14ac:dyDescent="0.3">
      <c r="A21" s="3" t="s">
        <v>1</v>
      </c>
      <c r="B21" s="3"/>
      <c r="C21" s="4" t="s">
        <v>105</v>
      </c>
      <c r="D21" s="5" t="s">
        <v>106</v>
      </c>
      <c r="E21" s="6">
        <v>45444</v>
      </c>
      <c r="F21" s="6"/>
      <c r="G21" s="7" t="s">
        <v>25</v>
      </c>
      <c r="H21" s="4" t="s">
        <v>9</v>
      </c>
      <c r="I21" s="4" t="s">
        <v>8</v>
      </c>
      <c r="J21" s="8">
        <v>44898</v>
      </c>
      <c r="K21" s="8" t="s">
        <v>70</v>
      </c>
      <c r="L21" s="5" t="s">
        <v>9</v>
      </c>
      <c r="M21" s="5" t="s">
        <v>24</v>
      </c>
      <c r="N21" s="5">
        <v>4</v>
      </c>
      <c r="O21" s="9">
        <f>YEAR(Table2[[#This Row],[Date of Joining]])</f>
        <v>2024</v>
      </c>
      <c r="P21" s="9" t="str">
        <f t="shared" ca="1" si="0"/>
        <v>1+ years</v>
      </c>
    </row>
    <row r="22" spans="1:16" x14ac:dyDescent="0.3">
      <c r="A22" s="3" t="s">
        <v>1</v>
      </c>
      <c r="B22" s="3"/>
      <c r="C22" s="4" t="s">
        <v>107</v>
      </c>
      <c r="D22" s="5" t="s">
        <v>108</v>
      </c>
      <c r="E22" s="6">
        <v>45662</v>
      </c>
      <c r="F22" s="6"/>
      <c r="G22" s="5" t="s">
        <v>31</v>
      </c>
      <c r="H22" s="4" t="s">
        <v>9</v>
      </c>
      <c r="I22" s="4" t="s">
        <v>8</v>
      </c>
      <c r="J22" s="8">
        <v>44338</v>
      </c>
      <c r="K22" s="8" t="s">
        <v>70</v>
      </c>
      <c r="L22" s="5" t="s">
        <v>9</v>
      </c>
      <c r="M22" s="5" t="s">
        <v>15</v>
      </c>
      <c r="N22" s="5">
        <v>4.8</v>
      </c>
      <c r="O22" s="9">
        <f>YEAR(Table2[[#This Row],[Date of Joining]])</f>
        <v>2025</v>
      </c>
      <c r="P22" s="9" t="str">
        <f t="shared" ca="1" si="0"/>
        <v>1+ years</v>
      </c>
    </row>
    <row r="23" spans="1:16" x14ac:dyDescent="0.3">
      <c r="A23" s="3" t="s">
        <v>1</v>
      </c>
      <c r="B23" s="3"/>
      <c r="C23" s="4" t="s">
        <v>109</v>
      </c>
      <c r="D23" s="5" t="s">
        <v>110</v>
      </c>
      <c r="E23" s="6">
        <v>45671</v>
      </c>
      <c r="F23" s="6"/>
      <c r="G23" s="5" t="s">
        <v>31</v>
      </c>
      <c r="H23" s="4" t="s">
        <v>9</v>
      </c>
      <c r="I23" s="4" t="s">
        <v>13</v>
      </c>
      <c r="J23" s="8">
        <v>44236</v>
      </c>
      <c r="K23" s="8" t="s">
        <v>67</v>
      </c>
      <c r="L23" s="5" t="s">
        <v>9</v>
      </c>
      <c r="M23" s="5" t="s">
        <v>30</v>
      </c>
      <c r="N23" s="5">
        <v>9</v>
      </c>
      <c r="O23" s="9">
        <f>YEAR(Table2[[#This Row],[Date of Joining]])</f>
        <v>2025</v>
      </c>
      <c r="P23" s="9" t="str">
        <f t="shared" ca="1" si="0"/>
        <v>1+ years</v>
      </c>
    </row>
    <row r="24" spans="1:16" x14ac:dyDescent="0.3">
      <c r="A24" s="3" t="s">
        <v>1</v>
      </c>
      <c r="B24" s="3"/>
      <c r="C24" s="4" t="s">
        <v>111</v>
      </c>
      <c r="D24" s="5" t="s">
        <v>112</v>
      </c>
      <c r="E24" s="6">
        <v>45775</v>
      </c>
      <c r="F24" s="6"/>
      <c r="G24" s="7" t="s">
        <v>11</v>
      </c>
      <c r="H24" s="4" t="s">
        <v>9</v>
      </c>
      <c r="I24" s="4" t="s">
        <v>13</v>
      </c>
      <c r="J24" s="8">
        <v>44536</v>
      </c>
      <c r="K24" s="8" t="s">
        <v>70</v>
      </c>
      <c r="L24" s="5" t="s">
        <v>9</v>
      </c>
      <c r="M24" s="5" t="s">
        <v>27</v>
      </c>
      <c r="N24" s="5">
        <v>8</v>
      </c>
      <c r="O24" s="9">
        <f>YEAR(Table2[[#This Row],[Date of Joining]])</f>
        <v>2025</v>
      </c>
      <c r="P24" s="9" t="str">
        <f t="shared" ca="1" si="0"/>
        <v>&lt;1 year</v>
      </c>
    </row>
    <row r="25" spans="1:16" x14ac:dyDescent="0.3">
      <c r="A25" s="3" t="s">
        <v>1</v>
      </c>
      <c r="B25" s="3" t="s">
        <v>64</v>
      </c>
      <c r="C25" s="4">
        <v>107224</v>
      </c>
      <c r="D25" s="5" t="s">
        <v>113</v>
      </c>
      <c r="E25" s="6">
        <v>43867</v>
      </c>
      <c r="F25" s="6"/>
      <c r="G25" s="7" t="s">
        <v>21</v>
      </c>
      <c r="H25" s="4" t="s">
        <v>17</v>
      </c>
      <c r="I25" s="4" t="s">
        <v>13</v>
      </c>
      <c r="J25" s="8">
        <v>44433</v>
      </c>
      <c r="K25" s="8" t="s">
        <v>67</v>
      </c>
      <c r="L25" s="5" t="s">
        <v>23</v>
      </c>
      <c r="M25" s="5" t="s">
        <v>30</v>
      </c>
      <c r="N25" s="5">
        <v>13</v>
      </c>
      <c r="O25" s="9">
        <f>YEAR(Table2[[#This Row],[Date of Joining]])</f>
        <v>2020</v>
      </c>
      <c r="P25" s="9" t="str">
        <f t="shared" ca="1" si="0"/>
        <v>5+ years</v>
      </c>
    </row>
    <row r="26" spans="1:16" x14ac:dyDescent="0.3">
      <c r="A26" s="3" t="s">
        <v>5</v>
      </c>
      <c r="B26" s="3" t="s">
        <v>64</v>
      </c>
      <c r="C26" s="4">
        <v>148467</v>
      </c>
      <c r="D26" s="5" t="s">
        <v>114</v>
      </c>
      <c r="E26" s="6">
        <v>43869</v>
      </c>
      <c r="F26" s="6">
        <v>45473</v>
      </c>
      <c r="G26" s="5" t="s">
        <v>31</v>
      </c>
      <c r="H26" s="4" t="s">
        <v>17</v>
      </c>
      <c r="I26" s="4" t="s">
        <v>8</v>
      </c>
      <c r="J26" s="8">
        <v>44494</v>
      </c>
      <c r="K26" s="8" t="s">
        <v>67</v>
      </c>
      <c r="L26" s="5" t="s">
        <v>23</v>
      </c>
      <c r="M26" s="5" t="s">
        <v>10</v>
      </c>
      <c r="N26" s="5">
        <v>5</v>
      </c>
      <c r="O26" s="9">
        <f>YEAR(Table2[[#This Row],[Date of Joining]])</f>
        <v>2020</v>
      </c>
      <c r="P26" s="9" t="str">
        <f t="shared" ca="1" si="0"/>
        <v>5+ years</v>
      </c>
    </row>
    <row r="27" spans="1:16" x14ac:dyDescent="0.3">
      <c r="A27" s="3" t="s">
        <v>5</v>
      </c>
      <c r="B27" s="3"/>
      <c r="C27" s="4">
        <v>114416</v>
      </c>
      <c r="D27" s="5" t="s">
        <v>115</v>
      </c>
      <c r="E27" s="6">
        <v>43874</v>
      </c>
      <c r="F27" s="6">
        <v>45300</v>
      </c>
      <c r="G27" s="7" t="s">
        <v>25</v>
      </c>
      <c r="H27" s="4" t="s">
        <v>17</v>
      </c>
      <c r="I27" s="4" t="s">
        <v>13</v>
      </c>
      <c r="J27" s="8">
        <v>44524</v>
      </c>
      <c r="K27" s="8" t="s">
        <v>70</v>
      </c>
      <c r="L27" s="5" t="s">
        <v>14</v>
      </c>
      <c r="M27" s="5" t="s">
        <v>15</v>
      </c>
      <c r="N27" s="5">
        <v>8</v>
      </c>
      <c r="O27" s="9">
        <f>YEAR(Table2[[#This Row],[Date of Joining]])</f>
        <v>2020</v>
      </c>
      <c r="P27" s="9" t="str">
        <f t="shared" ca="1" si="0"/>
        <v>5+ years</v>
      </c>
    </row>
    <row r="28" spans="1:16" x14ac:dyDescent="0.3">
      <c r="A28" s="3" t="s">
        <v>1</v>
      </c>
      <c r="B28" s="3"/>
      <c r="C28" s="4">
        <v>189095</v>
      </c>
      <c r="D28" s="5" t="s">
        <v>116</v>
      </c>
      <c r="E28" s="6">
        <v>43887</v>
      </c>
      <c r="F28" s="6"/>
      <c r="G28" s="7" t="s">
        <v>25</v>
      </c>
      <c r="H28" s="4" t="s">
        <v>17</v>
      </c>
      <c r="I28" s="4" t="s">
        <v>13</v>
      </c>
      <c r="J28" s="8">
        <v>44504</v>
      </c>
      <c r="K28" s="8" t="s">
        <v>67</v>
      </c>
      <c r="L28" s="5" t="s">
        <v>14</v>
      </c>
      <c r="M28" s="5" t="s">
        <v>30</v>
      </c>
      <c r="N28" s="5">
        <v>17</v>
      </c>
      <c r="O28" s="9">
        <f>YEAR(Table2[[#This Row],[Date of Joining]])</f>
        <v>2020</v>
      </c>
      <c r="P28" s="9" t="str">
        <f t="shared" ca="1" si="0"/>
        <v>5+ years</v>
      </c>
    </row>
    <row r="29" spans="1:16" x14ac:dyDescent="0.3">
      <c r="A29" s="3" t="s">
        <v>5</v>
      </c>
      <c r="B29" s="3"/>
      <c r="C29" s="4">
        <v>123874</v>
      </c>
      <c r="D29" s="5" t="s">
        <v>117</v>
      </c>
      <c r="E29" s="6">
        <v>43901</v>
      </c>
      <c r="F29" s="6">
        <v>44560</v>
      </c>
      <c r="G29" s="7" t="s">
        <v>25</v>
      </c>
      <c r="H29" s="4" t="s">
        <v>17</v>
      </c>
      <c r="I29" s="4" t="s">
        <v>13</v>
      </c>
      <c r="J29" s="8">
        <v>44558</v>
      </c>
      <c r="K29" s="8" t="s">
        <v>70</v>
      </c>
      <c r="L29" s="5" t="s">
        <v>23</v>
      </c>
      <c r="M29" s="5" t="s">
        <v>10</v>
      </c>
      <c r="N29" s="5">
        <v>14</v>
      </c>
      <c r="O29" s="9">
        <f>YEAR(Table2[[#This Row],[Date of Joining]])</f>
        <v>2020</v>
      </c>
      <c r="P29" s="9" t="str">
        <f t="shared" ca="1" si="0"/>
        <v>5+ years</v>
      </c>
    </row>
    <row r="30" spans="1:16" x14ac:dyDescent="0.3">
      <c r="A30" s="3" t="s">
        <v>1</v>
      </c>
      <c r="B30" s="3" t="s">
        <v>64</v>
      </c>
      <c r="C30" s="4">
        <v>147637</v>
      </c>
      <c r="D30" s="5" t="s">
        <v>16</v>
      </c>
      <c r="E30" s="6">
        <v>43916</v>
      </c>
      <c r="F30" s="6"/>
      <c r="G30" s="7" t="s">
        <v>21</v>
      </c>
      <c r="H30" s="4" t="s">
        <v>17</v>
      </c>
      <c r="I30" s="4" t="s">
        <v>13</v>
      </c>
      <c r="J30" s="8">
        <v>44314</v>
      </c>
      <c r="K30" s="8" t="s">
        <v>67</v>
      </c>
      <c r="L30" s="5" t="s">
        <v>23</v>
      </c>
      <c r="M30" s="5" t="s">
        <v>15</v>
      </c>
      <c r="N30" s="5">
        <v>14</v>
      </c>
      <c r="O30" s="9">
        <f>YEAR(Table2[[#This Row],[Date of Joining]])</f>
        <v>2020</v>
      </c>
      <c r="P30" s="9" t="str">
        <f t="shared" ca="1" si="0"/>
        <v>5+ years</v>
      </c>
    </row>
    <row r="31" spans="1:16" x14ac:dyDescent="0.3">
      <c r="A31" s="3" t="s">
        <v>1</v>
      </c>
      <c r="B31" s="3" t="s">
        <v>64</v>
      </c>
      <c r="C31" s="4">
        <v>183900</v>
      </c>
      <c r="D31" s="5" t="s">
        <v>118</v>
      </c>
      <c r="E31" s="6">
        <v>43950</v>
      </c>
      <c r="F31" s="6"/>
      <c r="G31" s="7" t="s">
        <v>25</v>
      </c>
      <c r="H31" s="4" t="s">
        <v>17</v>
      </c>
      <c r="I31" s="4" t="s">
        <v>13</v>
      </c>
      <c r="J31" s="8">
        <v>44309</v>
      </c>
      <c r="K31" s="8" t="s">
        <v>67</v>
      </c>
      <c r="L31" s="5" t="s">
        <v>14</v>
      </c>
      <c r="M31" s="5" t="s">
        <v>10</v>
      </c>
      <c r="N31" s="5">
        <v>13</v>
      </c>
      <c r="O31" s="9">
        <f>YEAR(Table2[[#This Row],[Date of Joining]])</f>
        <v>2020</v>
      </c>
      <c r="P31" s="9" t="str">
        <f t="shared" ca="1" si="0"/>
        <v>5+ years</v>
      </c>
    </row>
    <row r="32" spans="1:16" x14ac:dyDescent="0.3">
      <c r="A32" s="3" t="s">
        <v>1</v>
      </c>
      <c r="B32" s="3"/>
      <c r="C32" s="4">
        <v>110700</v>
      </c>
      <c r="D32" s="5" t="s">
        <v>119</v>
      </c>
      <c r="E32" s="6">
        <v>43971</v>
      </c>
      <c r="F32" s="6"/>
      <c r="G32" s="7" t="s">
        <v>25</v>
      </c>
      <c r="H32" s="4" t="s">
        <v>17</v>
      </c>
      <c r="I32" s="4" t="s">
        <v>13</v>
      </c>
      <c r="J32" s="8">
        <v>44307</v>
      </c>
      <c r="K32" s="8" t="s">
        <v>67</v>
      </c>
      <c r="L32" s="5" t="s">
        <v>14</v>
      </c>
      <c r="M32" s="5" t="s">
        <v>15</v>
      </c>
      <c r="N32" s="5">
        <v>13</v>
      </c>
      <c r="O32" s="9">
        <f>YEAR(Table2[[#This Row],[Date of Joining]])</f>
        <v>2020</v>
      </c>
      <c r="P32" s="9" t="str">
        <f t="shared" ca="1" si="0"/>
        <v>5+ years</v>
      </c>
    </row>
    <row r="33" spans="1:16" x14ac:dyDescent="0.3">
      <c r="A33" s="3" t="s">
        <v>1</v>
      </c>
      <c r="B33" s="3" t="s">
        <v>64</v>
      </c>
      <c r="C33" s="4">
        <v>188035</v>
      </c>
      <c r="D33" s="5" t="s">
        <v>120</v>
      </c>
      <c r="E33" s="6">
        <v>43994</v>
      </c>
      <c r="F33" s="6"/>
      <c r="G33" s="7" t="s">
        <v>16</v>
      </c>
      <c r="H33" s="4" t="s">
        <v>17</v>
      </c>
      <c r="I33" s="4" t="s">
        <v>13</v>
      </c>
      <c r="J33" s="8">
        <v>44781</v>
      </c>
      <c r="K33" s="8" t="s">
        <v>67</v>
      </c>
      <c r="L33" s="5" t="s">
        <v>23</v>
      </c>
      <c r="M33" s="5" t="s">
        <v>30</v>
      </c>
      <c r="N33" s="5">
        <v>7</v>
      </c>
      <c r="O33" s="9">
        <f>YEAR(Table2[[#This Row],[Date of Joining]])</f>
        <v>2020</v>
      </c>
      <c r="P33" s="9" t="str">
        <f t="shared" ca="1" si="0"/>
        <v>5+ years</v>
      </c>
    </row>
    <row r="34" spans="1:16" x14ac:dyDescent="0.3">
      <c r="A34" s="3" t="s">
        <v>1</v>
      </c>
      <c r="B34" s="3"/>
      <c r="C34" s="4">
        <v>131049</v>
      </c>
      <c r="D34" s="5" t="s">
        <v>121</v>
      </c>
      <c r="E34" s="6">
        <v>44000</v>
      </c>
      <c r="F34" s="6"/>
      <c r="G34" s="7" t="s">
        <v>25</v>
      </c>
      <c r="H34" s="4" t="s">
        <v>17</v>
      </c>
      <c r="I34" s="4" t="s">
        <v>13</v>
      </c>
      <c r="J34" s="8">
        <v>44561</v>
      </c>
      <c r="K34" s="8" t="s">
        <v>67</v>
      </c>
      <c r="L34" s="5" t="s">
        <v>14</v>
      </c>
      <c r="M34" s="5" t="s">
        <v>30</v>
      </c>
      <c r="N34" s="5">
        <v>13</v>
      </c>
      <c r="O34" s="9">
        <f>YEAR(Table2[[#This Row],[Date of Joining]])</f>
        <v>2020</v>
      </c>
      <c r="P34" s="9" t="str">
        <f t="shared" ca="1" si="0"/>
        <v>5+ years</v>
      </c>
    </row>
    <row r="35" spans="1:16" x14ac:dyDescent="0.3">
      <c r="A35" s="3" t="s">
        <v>5</v>
      </c>
      <c r="B35" s="3"/>
      <c r="C35" s="4">
        <v>180582</v>
      </c>
      <c r="D35" s="5" t="s">
        <v>122</v>
      </c>
      <c r="E35" s="6">
        <v>44008</v>
      </c>
      <c r="F35" s="6">
        <v>44377</v>
      </c>
      <c r="G35" s="7" t="s">
        <v>16</v>
      </c>
      <c r="H35" s="4" t="s">
        <v>17</v>
      </c>
      <c r="I35" s="4" t="s">
        <v>8</v>
      </c>
      <c r="J35" s="8">
        <v>44343</v>
      </c>
      <c r="K35" s="8" t="s">
        <v>67</v>
      </c>
      <c r="L35" s="5" t="s">
        <v>19</v>
      </c>
      <c r="M35" s="5" t="s">
        <v>10</v>
      </c>
      <c r="N35" s="5">
        <v>0</v>
      </c>
      <c r="O35" s="9">
        <f>YEAR(Table2[[#This Row],[Date of Joining]])</f>
        <v>2020</v>
      </c>
      <c r="P35" s="9" t="str">
        <f t="shared" ca="1" si="0"/>
        <v>5+ years</v>
      </c>
    </row>
    <row r="36" spans="1:16" x14ac:dyDescent="0.3">
      <c r="A36" s="3" t="s">
        <v>1</v>
      </c>
      <c r="B36" s="3"/>
      <c r="C36" s="4">
        <v>126718</v>
      </c>
      <c r="D36" s="5" t="s">
        <v>123</v>
      </c>
      <c r="E36" s="6">
        <v>44020</v>
      </c>
      <c r="F36" s="6"/>
      <c r="G36" s="7" t="s">
        <v>25</v>
      </c>
      <c r="H36" s="4" t="s">
        <v>17</v>
      </c>
      <c r="I36" s="4" t="s">
        <v>13</v>
      </c>
      <c r="J36" s="8">
        <v>44472</v>
      </c>
      <c r="K36" s="8" t="s">
        <v>67</v>
      </c>
      <c r="L36" s="5" t="s">
        <v>23</v>
      </c>
      <c r="M36" s="5" t="s">
        <v>10</v>
      </c>
      <c r="N36" s="5">
        <v>6.5</v>
      </c>
      <c r="O36" s="9">
        <f>YEAR(Table2[[#This Row],[Date of Joining]])</f>
        <v>2020</v>
      </c>
      <c r="P36" s="9" t="str">
        <f t="shared" ca="1" si="0"/>
        <v>5+ years</v>
      </c>
    </row>
    <row r="37" spans="1:16" x14ac:dyDescent="0.3">
      <c r="A37" s="3" t="s">
        <v>1</v>
      </c>
      <c r="B37" s="3"/>
      <c r="C37" s="4">
        <v>192425</v>
      </c>
      <c r="D37" s="5" t="s">
        <v>124</v>
      </c>
      <c r="E37" s="6">
        <v>44036</v>
      </c>
      <c r="F37" s="6"/>
      <c r="G37" s="7" t="s">
        <v>21</v>
      </c>
      <c r="H37" s="4" t="s">
        <v>17</v>
      </c>
      <c r="I37" s="4" t="s">
        <v>13</v>
      </c>
      <c r="J37" s="8">
        <v>44338</v>
      </c>
      <c r="K37" s="8" t="s">
        <v>67</v>
      </c>
      <c r="L37" s="5" t="s">
        <v>23</v>
      </c>
      <c r="M37" s="5" t="s">
        <v>15</v>
      </c>
      <c r="N37" s="5">
        <v>8</v>
      </c>
      <c r="O37" s="9">
        <f>YEAR(Table2[[#This Row],[Date of Joining]])</f>
        <v>2020</v>
      </c>
      <c r="P37" s="9" t="str">
        <f t="shared" ca="1" si="0"/>
        <v>5+ years</v>
      </c>
    </row>
    <row r="38" spans="1:16" x14ac:dyDescent="0.3">
      <c r="A38" s="3" t="s">
        <v>1</v>
      </c>
      <c r="B38" s="3"/>
      <c r="C38" s="4">
        <v>174008</v>
      </c>
      <c r="D38" s="5" t="s">
        <v>125</v>
      </c>
      <c r="E38" s="6">
        <v>44043</v>
      </c>
      <c r="F38" s="6"/>
      <c r="G38" s="7" t="s">
        <v>16</v>
      </c>
      <c r="H38" s="4" t="s">
        <v>17</v>
      </c>
      <c r="I38" s="4" t="s">
        <v>8</v>
      </c>
      <c r="J38" s="8">
        <v>44540</v>
      </c>
      <c r="K38" s="8" t="s">
        <v>67</v>
      </c>
      <c r="L38" s="5" t="s">
        <v>23</v>
      </c>
      <c r="M38" s="5" t="s">
        <v>10</v>
      </c>
      <c r="N38" s="5">
        <v>12</v>
      </c>
      <c r="O38" s="9">
        <f>YEAR(Table2[[#This Row],[Date of Joining]])</f>
        <v>2020</v>
      </c>
      <c r="P38" s="9" t="str">
        <f t="shared" ca="1" si="0"/>
        <v>5+ years</v>
      </c>
    </row>
    <row r="39" spans="1:16" x14ac:dyDescent="0.3">
      <c r="A39" s="3" t="s">
        <v>5</v>
      </c>
      <c r="B39" s="3"/>
      <c r="C39" s="4">
        <v>129735</v>
      </c>
      <c r="D39" s="5" t="s">
        <v>11</v>
      </c>
      <c r="E39" s="6">
        <v>44057</v>
      </c>
      <c r="F39" s="6">
        <v>44741</v>
      </c>
      <c r="G39" s="7" t="s">
        <v>25</v>
      </c>
      <c r="H39" s="4" t="s">
        <v>17</v>
      </c>
      <c r="I39" s="4" t="s">
        <v>13</v>
      </c>
      <c r="J39" s="8">
        <v>44211</v>
      </c>
      <c r="K39" s="8" t="s">
        <v>67</v>
      </c>
      <c r="L39" s="5" t="s">
        <v>23</v>
      </c>
      <c r="M39" s="5" t="s">
        <v>30</v>
      </c>
      <c r="N39" s="5">
        <v>5</v>
      </c>
      <c r="O39" s="9">
        <f>YEAR(Table2[[#This Row],[Date of Joining]])</f>
        <v>2020</v>
      </c>
      <c r="P39" s="9" t="str">
        <f t="shared" ca="1" si="0"/>
        <v>5+ years</v>
      </c>
    </row>
    <row r="40" spans="1:16" x14ac:dyDescent="0.3">
      <c r="A40" s="3" t="s">
        <v>5</v>
      </c>
      <c r="B40" s="3"/>
      <c r="C40" s="4">
        <v>117328</v>
      </c>
      <c r="D40" s="5" t="s">
        <v>126</v>
      </c>
      <c r="E40" s="6">
        <v>44069</v>
      </c>
      <c r="F40" s="6">
        <v>44681</v>
      </c>
      <c r="G40" s="7" t="s">
        <v>25</v>
      </c>
      <c r="H40" s="4" t="s">
        <v>17</v>
      </c>
      <c r="I40" s="4" t="s">
        <v>13</v>
      </c>
      <c r="J40" s="8">
        <v>44236</v>
      </c>
      <c r="K40" s="8" t="s">
        <v>70</v>
      </c>
      <c r="L40" s="5" t="s">
        <v>23</v>
      </c>
      <c r="M40" s="5" t="s">
        <v>30</v>
      </c>
      <c r="N40" s="5">
        <v>4.8</v>
      </c>
      <c r="O40" s="9">
        <f>YEAR(Table2[[#This Row],[Date of Joining]])</f>
        <v>2020</v>
      </c>
      <c r="P40" s="9" t="str">
        <f t="shared" ca="1" si="0"/>
        <v>5+ years</v>
      </c>
    </row>
    <row r="41" spans="1:16" x14ac:dyDescent="0.3">
      <c r="A41" s="3" t="s">
        <v>1</v>
      </c>
      <c r="B41" s="3"/>
      <c r="C41" s="4">
        <v>110646</v>
      </c>
      <c r="D41" s="5" t="s">
        <v>127</v>
      </c>
      <c r="E41" s="6">
        <v>44075</v>
      </c>
      <c r="F41" s="6"/>
      <c r="G41" s="5" t="s">
        <v>34</v>
      </c>
      <c r="H41" s="4" t="s">
        <v>17</v>
      </c>
      <c r="I41" s="4" t="s">
        <v>13</v>
      </c>
      <c r="J41" s="8">
        <v>44216</v>
      </c>
      <c r="K41" s="8" t="s">
        <v>70</v>
      </c>
      <c r="L41" s="5" t="s">
        <v>23</v>
      </c>
      <c r="M41" s="5" t="s">
        <v>15</v>
      </c>
      <c r="N41" s="5">
        <v>9</v>
      </c>
      <c r="O41" s="9">
        <f>YEAR(Table2[[#This Row],[Date of Joining]])</f>
        <v>2020</v>
      </c>
      <c r="P41" s="9" t="str">
        <f t="shared" ca="1" si="0"/>
        <v>5+ years</v>
      </c>
    </row>
    <row r="42" spans="1:16" x14ac:dyDescent="0.3">
      <c r="A42" s="3" t="s">
        <v>1</v>
      </c>
      <c r="B42" s="3"/>
      <c r="C42" s="4">
        <v>114446</v>
      </c>
      <c r="D42" s="5" t="s">
        <v>128</v>
      </c>
      <c r="E42" s="6">
        <v>44075</v>
      </c>
      <c r="F42" s="6"/>
      <c r="G42" s="5" t="s">
        <v>31</v>
      </c>
      <c r="H42" s="4" t="s">
        <v>17</v>
      </c>
      <c r="I42" s="4" t="s">
        <v>13</v>
      </c>
      <c r="J42" s="8">
        <v>44524</v>
      </c>
      <c r="K42" s="8" t="s">
        <v>70</v>
      </c>
      <c r="L42" s="5" t="s">
        <v>14</v>
      </c>
      <c r="M42" s="5" t="s">
        <v>15</v>
      </c>
      <c r="N42" s="5">
        <v>8</v>
      </c>
      <c r="O42" s="9">
        <f>YEAR(Table2[[#This Row],[Date of Joining]])</f>
        <v>2020</v>
      </c>
      <c r="P42" s="9" t="str">
        <f t="shared" ca="1" si="0"/>
        <v>5+ years</v>
      </c>
    </row>
    <row r="43" spans="1:16" x14ac:dyDescent="0.3">
      <c r="A43" s="3" t="s">
        <v>1</v>
      </c>
      <c r="B43" s="3"/>
      <c r="C43" s="4">
        <v>189125</v>
      </c>
      <c r="D43" s="5" t="s">
        <v>129</v>
      </c>
      <c r="E43" s="6">
        <v>44075</v>
      </c>
      <c r="F43" s="6"/>
      <c r="G43" s="7" t="s">
        <v>11</v>
      </c>
      <c r="H43" s="4" t="s">
        <v>17</v>
      </c>
      <c r="I43" s="4" t="s">
        <v>13</v>
      </c>
      <c r="J43" s="8">
        <v>44504</v>
      </c>
      <c r="K43" s="8" t="s">
        <v>70</v>
      </c>
      <c r="L43" s="5" t="s">
        <v>14</v>
      </c>
      <c r="M43" s="5" t="s">
        <v>30</v>
      </c>
      <c r="N43" s="5">
        <v>17</v>
      </c>
      <c r="O43" s="9">
        <f>YEAR(Table2[[#This Row],[Date of Joining]])</f>
        <v>2020</v>
      </c>
      <c r="P43" s="9" t="str">
        <f t="shared" ca="1" si="0"/>
        <v>5+ years</v>
      </c>
    </row>
    <row r="44" spans="1:16" x14ac:dyDescent="0.3">
      <c r="A44" s="3" t="s">
        <v>1</v>
      </c>
      <c r="B44" s="3" t="s">
        <v>64</v>
      </c>
      <c r="C44" s="4">
        <v>183930</v>
      </c>
      <c r="D44" s="5" t="s">
        <v>130</v>
      </c>
      <c r="E44" s="6">
        <v>44075</v>
      </c>
      <c r="F44" s="6"/>
      <c r="G44" s="7" t="s">
        <v>11</v>
      </c>
      <c r="H44" s="4" t="s">
        <v>17</v>
      </c>
      <c r="I44" s="4" t="s">
        <v>13</v>
      </c>
      <c r="J44" s="8">
        <v>44309</v>
      </c>
      <c r="K44" s="8" t="s">
        <v>70</v>
      </c>
      <c r="L44" s="5" t="s">
        <v>14</v>
      </c>
      <c r="M44" s="5" t="s">
        <v>10</v>
      </c>
      <c r="N44" s="5">
        <v>13</v>
      </c>
      <c r="O44" s="9">
        <f>YEAR(Table2[[#This Row],[Date of Joining]])</f>
        <v>2020</v>
      </c>
      <c r="P44" s="9" t="str">
        <f t="shared" ca="1" si="0"/>
        <v>5+ years</v>
      </c>
    </row>
    <row r="45" spans="1:16" x14ac:dyDescent="0.3">
      <c r="A45" s="3" t="s">
        <v>1</v>
      </c>
      <c r="B45" s="3"/>
      <c r="C45" s="4">
        <v>110730</v>
      </c>
      <c r="D45" s="5" t="s">
        <v>28</v>
      </c>
      <c r="E45" s="6">
        <v>44075</v>
      </c>
      <c r="F45" s="6"/>
      <c r="G45" s="5" t="s">
        <v>28</v>
      </c>
      <c r="H45" s="4" t="s">
        <v>17</v>
      </c>
      <c r="I45" s="4" t="s">
        <v>13</v>
      </c>
      <c r="J45" s="8">
        <v>44307</v>
      </c>
      <c r="K45" s="8" t="s">
        <v>67</v>
      </c>
      <c r="L45" s="5" t="s">
        <v>14</v>
      </c>
      <c r="M45" s="5" t="s">
        <v>15</v>
      </c>
      <c r="N45" s="5">
        <v>13</v>
      </c>
      <c r="O45" s="9">
        <f>YEAR(Table2[[#This Row],[Date of Joining]])</f>
        <v>2020</v>
      </c>
      <c r="P45" s="9" t="str">
        <f t="shared" ca="1" si="0"/>
        <v>5+ years</v>
      </c>
    </row>
    <row r="46" spans="1:16" x14ac:dyDescent="0.3">
      <c r="A46" s="3" t="s">
        <v>1</v>
      </c>
      <c r="B46" s="3"/>
      <c r="C46" s="4">
        <v>131079</v>
      </c>
      <c r="D46" s="5" t="s">
        <v>131</v>
      </c>
      <c r="E46" s="6">
        <v>44075</v>
      </c>
      <c r="F46" s="6"/>
      <c r="G46" s="7" t="s">
        <v>21</v>
      </c>
      <c r="H46" s="4" t="s">
        <v>17</v>
      </c>
      <c r="I46" s="4" t="s">
        <v>13</v>
      </c>
      <c r="J46" s="8">
        <v>44561</v>
      </c>
      <c r="K46" s="8" t="s">
        <v>67</v>
      </c>
      <c r="L46" s="5" t="s">
        <v>14</v>
      </c>
      <c r="M46" s="5" t="s">
        <v>30</v>
      </c>
      <c r="N46" s="5">
        <v>13</v>
      </c>
      <c r="O46" s="9">
        <f>YEAR(Table2[[#This Row],[Date of Joining]])</f>
        <v>2020</v>
      </c>
      <c r="P46" s="9" t="str">
        <f t="shared" ca="1" si="0"/>
        <v>5+ years</v>
      </c>
    </row>
    <row r="47" spans="1:16" x14ac:dyDescent="0.3">
      <c r="A47" s="3" t="s">
        <v>1</v>
      </c>
      <c r="B47" s="3"/>
      <c r="C47" s="4">
        <v>180612</v>
      </c>
      <c r="D47" s="5" t="s">
        <v>132</v>
      </c>
      <c r="E47" s="6">
        <v>44075</v>
      </c>
      <c r="F47" s="6"/>
      <c r="G47" s="7" t="s">
        <v>16</v>
      </c>
      <c r="H47" s="4" t="s">
        <v>17</v>
      </c>
      <c r="I47" s="4" t="s">
        <v>8</v>
      </c>
      <c r="J47" s="8">
        <v>44343</v>
      </c>
      <c r="K47" s="8" t="s">
        <v>67</v>
      </c>
      <c r="L47" s="5" t="s">
        <v>19</v>
      </c>
      <c r="M47" s="5" t="s">
        <v>10</v>
      </c>
      <c r="N47" s="5">
        <v>0</v>
      </c>
      <c r="O47" s="9">
        <f>YEAR(Table2[[#This Row],[Date of Joining]])</f>
        <v>2020</v>
      </c>
      <c r="P47" s="9" t="str">
        <f t="shared" ca="1" si="0"/>
        <v>5+ years</v>
      </c>
    </row>
    <row r="48" spans="1:16" x14ac:dyDescent="0.3">
      <c r="A48" s="3" t="s">
        <v>5</v>
      </c>
      <c r="B48" s="3"/>
      <c r="C48" s="4">
        <v>154702</v>
      </c>
      <c r="D48" s="5" t="s">
        <v>133</v>
      </c>
      <c r="E48" s="6">
        <v>44083</v>
      </c>
      <c r="F48" s="6">
        <v>45311</v>
      </c>
      <c r="G48" s="7" t="s">
        <v>25</v>
      </c>
      <c r="H48" s="4" t="s">
        <v>17</v>
      </c>
      <c r="I48" s="4" t="s">
        <v>8</v>
      </c>
      <c r="J48" s="8">
        <v>44507</v>
      </c>
      <c r="K48" s="8" t="s">
        <v>70</v>
      </c>
      <c r="L48" s="5" t="s">
        <v>19</v>
      </c>
      <c r="M48" s="5" t="s">
        <v>30</v>
      </c>
      <c r="N48" s="5">
        <v>0</v>
      </c>
      <c r="O48" s="9">
        <f>YEAR(Table2[[#This Row],[Date of Joining]])</f>
        <v>2020</v>
      </c>
      <c r="P48" s="9" t="str">
        <f t="shared" ca="1" si="0"/>
        <v>5+ years</v>
      </c>
    </row>
    <row r="49" spans="1:16" x14ac:dyDescent="0.3">
      <c r="A49" s="3" t="s">
        <v>1</v>
      </c>
      <c r="B49" s="3"/>
      <c r="C49" s="4">
        <v>101286</v>
      </c>
      <c r="D49" s="5" t="s">
        <v>134</v>
      </c>
      <c r="E49" s="6">
        <v>44083</v>
      </c>
      <c r="F49" s="6"/>
      <c r="G49" s="7" t="s">
        <v>25</v>
      </c>
      <c r="H49" s="4" t="s">
        <v>17</v>
      </c>
      <c r="I49" s="4" t="s">
        <v>13</v>
      </c>
      <c r="J49" s="8">
        <v>44269</v>
      </c>
      <c r="K49" s="8" t="s">
        <v>67</v>
      </c>
      <c r="L49" s="5" t="s">
        <v>14</v>
      </c>
      <c r="M49" s="5" t="s">
        <v>24</v>
      </c>
      <c r="N49" s="5">
        <v>14</v>
      </c>
      <c r="O49" s="9">
        <f>YEAR(Table2[[#This Row],[Date of Joining]])</f>
        <v>2020</v>
      </c>
      <c r="P49" s="9" t="str">
        <f t="shared" ca="1" si="0"/>
        <v>5+ years</v>
      </c>
    </row>
    <row r="50" spans="1:16" x14ac:dyDescent="0.3">
      <c r="A50" s="3" t="s">
        <v>5</v>
      </c>
      <c r="B50" s="3"/>
      <c r="C50" s="4">
        <v>137383</v>
      </c>
      <c r="D50" s="5" t="s">
        <v>21</v>
      </c>
      <c r="E50" s="6">
        <v>44090</v>
      </c>
      <c r="F50" s="6">
        <v>44258</v>
      </c>
      <c r="G50" s="5" t="s">
        <v>34</v>
      </c>
      <c r="H50" s="4" t="s">
        <v>17</v>
      </c>
      <c r="I50" s="4" t="s">
        <v>13</v>
      </c>
      <c r="J50" s="8">
        <v>44220</v>
      </c>
      <c r="K50" s="8" t="s">
        <v>67</v>
      </c>
      <c r="L50" s="5" t="s">
        <v>14</v>
      </c>
      <c r="M50" s="5" t="s">
        <v>30</v>
      </c>
      <c r="N50" s="5">
        <v>9</v>
      </c>
      <c r="O50" s="9">
        <f>YEAR(Table2[[#This Row],[Date of Joining]])</f>
        <v>2020</v>
      </c>
      <c r="P50" s="9" t="str">
        <f t="shared" ca="1" si="0"/>
        <v>5+ years</v>
      </c>
    </row>
    <row r="51" spans="1:16" x14ac:dyDescent="0.3">
      <c r="A51" s="3" t="s">
        <v>5</v>
      </c>
      <c r="B51" s="3"/>
      <c r="C51" s="4">
        <v>185704</v>
      </c>
      <c r="D51" s="5" t="s">
        <v>25</v>
      </c>
      <c r="E51" s="6">
        <v>44090</v>
      </c>
      <c r="F51" s="6">
        <v>44395</v>
      </c>
      <c r="G51" s="7" t="s">
        <v>16</v>
      </c>
      <c r="H51" s="4" t="s">
        <v>17</v>
      </c>
      <c r="I51" s="4" t="s">
        <v>13</v>
      </c>
      <c r="J51" s="8">
        <v>44536</v>
      </c>
      <c r="K51" s="8" t="s">
        <v>67</v>
      </c>
      <c r="L51" s="5" t="s">
        <v>19</v>
      </c>
      <c r="M51" s="5" t="s">
        <v>20</v>
      </c>
      <c r="N51" s="5">
        <v>0</v>
      </c>
      <c r="O51" s="9">
        <f>YEAR(Table2[[#This Row],[Date of Joining]])</f>
        <v>2020</v>
      </c>
      <c r="P51" s="9" t="str">
        <f t="shared" ca="1" si="0"/>
        <v>5+ years</v>
      </c>
    </row>
    <row r="52" spans="1:16" x14ac:dyDescent="0.3">
      <c r="A52" s="3" t="s">
        <v>5</v>
      </c>
      <c r="B52" s="3"/>
      <c r="C52" s="4">
        <v>151727</v>
      </c>
      <c r="D52" s="5" t="s">
        <v>135</v>
      </c>
      <c r="E52" s="6">
        <v>44090</v>
      </c>
      <c r="F52" s="6">
        <v>45106</v>
      </c>
      <c r="G52" s="7" t="s">
        <v>16</v>
      </c>
      <c r="H52" s="4" t="s">
        <v>17</v>
      </c>
      <c r="I52" s="4" t="s">
        <v>13</v>
      </c>
      <c r="J52" s="8">
        <v>44230</v>
      </c>
      <c r="K52" s="8" t="s">
        <v>67</v>
      </c>
      <c r="L52" s="5" t="s">
        <v>19</v>
      </c>
      <c r="M52" s="5" t="s">
        <v>20</v>
      </c>
      <c r="N52" s="5">
        <v>0</v>
      </c>
      <c r="O52" s="9">
        <f>YEAR(Table2[[#This Row],[Date of Joining]])</f>
        <v>2020</v>
      </c>
      <c r="P52" s="9" t="str">
        <f t="shared" ca="1" si="0"/>
        <v>5+ years</v>
      </c>
    </row>
    <row r="53" spans="1:16" x14ac:dyDescent="0.3">
      <c r="A53" s="3" t="s">
        <v>5</v>
      </c>
      <c r="B53" s="3"/>
      <c r="C53" s="4">
        <v>135167</v>
      </c>
      <c r="D53" s="5" t="s">
        <v>136</v>
      </c>
      <c r="E53" s="6">
        <v>44090</v>
      </c>
      <c r="F53" s="6">
        <v>45195</v>
      </c>
      <c r="G53" s="7" t="s">
        <v>16</v>
      </c>
      <c r="H53" s="4" t="s">
        <v>17</v>
      </c>
      <c r="I53" s="4" t="s">
        <v>13</v>
      </c>
      <c r="J53" s="8">
        <v>44283</v>
      </c>
      <c r="K53" s="8" t="s">
        <v>67</v>
      </c>
      <c r="L53" s="5" t="s">
        <v>19</v>
      </c>
      <c r="M53" s="5" t="s">
        <v>20</v>
      </c>
      <c r="N53" s="5">
        <v>0</v>
      </c>
      <c r="O53" s="9">
        <f>YEAR(Table2[[#This Row],[Date of Joining]])</f>
        <v>2020</v>
      </c>
      <c r="P53" s="9" t="str">
        <f t="shared" ca="1" si="0"/>
        <v>5+ years</v>
      </c>
    </row>
    <row r="54" spans="1:16" x14ac:dyDescent="0.3">
      <c r="A54" s="3" t="s">
        <v>5</v>
      </c>
      <c r="B54" s="3"/>
      <c r="C54" s="4">
        <v>100971</v>
      </c>
      <c r="D54" s="5" t="s">
        <v>137</v>
      </c>
      <c r="E54" s="6">
        <v>44090</v>
      </c>
      <c r="F54" s="6">
        <v>45283</v>
      </c>
      <c r="G54" s="7" t="s">
        <v>16</v>
      </c>
      <c r="H54" s="4" t="s">
        <v>17</v>
      </c>
      <c r="I54" s="4" t="s">
        <v>13</v>
      </c>
      <c r="J54" s="8">
        <v>44447</v>
      </c>
      <c r="K54" s="8" t="s">
        <v>67</v>
      </c>
      <c r="L54" s="5" t="s">
        <v>19</v>
      </c>
      <c r="M54" s="5" t="s">
        <v>20</v>
      </c>
      <c r="N54" s="5">
        <v>0</v>
      </c>
      <c r="O54" s="9">
        <f>YEAR(Table2[[#This Row],[Date of Joining]])</f>
        <v>2020</v>
      </c>
      <c r="P54" s="9" t="str">
        <f t="shared" ca="1" si="0"/>
        <v>5+ years</v>
      </c>
    </row>
    <row r="55" spans="1:16" x14ac:dyDescent="0.3">
      <c r="A55" s="3" t="s">
        <v>5</v>
      </c>
      <c r="B55" s="3"/>
      <c r="C55" s="4">
        <v>145787</v>
      </c>
      <c r="D55" s="5" t="s">
        <v>138</v>
      </c>
      <c r="E55" s="6">
        <v>44090</v>
      </c>
      <c r="F55" s="6">
        <v>45318</v>
      </c>
      <c r="G55" s="7" t="s">
        <v>16</v>
      </c>
      <c r="H55" s="4" t="s">
        <v>17</v>
      </c>
      <c r="I55" s="4" t="s">
        <v>8</v>
      </c>
      <c r="J55" s="8">
        <v>44483</v>
      </c>
      <c r="K55" s="8" t="s">
        <v>70</v>
      </c>
      <c r="L55" s="5" t="s">
        <v>19</v>
      </c>
      <c r="M55" s="5" t="s">
        <v>20</v>
      </c>
      <c r="N55" s="5">
        <v>0</v>
      </c>
      <c r="O55" s="9">
        <f>YEAR(Table2[[#This Row],[Date of Joining]])</f>
        <v>2020</v>
      </c>
      <c r="P55" s="9" t="str">
        <f t="shared" ca="1" si="0"/>
        <v>5+ years</v>
      </c>
    </row>
    <row r="56" spans="1:16" x14ac:dyDescent="0.3">
      <c r="A56" s="3" t="s">
        <v>5</v>
      </c>
      <c r="B56" s="3"/>
      <c r="C56" s="4">
        <v>170924</v>
      </c>
      <c r="D56" s="5" t="s">
        <v>139</v>
      </c>
      <c r="E56" s="6">
        <v>44090</v>
      </c>
      <c r="F56" s="6">
        <v>45368</v>
      </c>
      <c r="G56" s="5" t="s">
        <v>31</v>
      </c>
      <c r="H56" s="4" t="s">
        <v>17</v>
      </c>
      <c r="I56" s="4" t="s">
        <v>13</v>
      </c>
      <c r="J56" s="8">
        <v>44470</v>
      </c>
      <c r="K56" s="8" t="s">
        <v>67</v>
      </c>
      <c r="L56" s="5" t="s">
        <v>19</v>
      </c>
      <c r="M56" s="5" t="s">
        <v>20</v>
      </c>
      <c r="N56" s="5">
        <v>0</v>
      </c>
      <c r="O56" s="9">
        <f>YEAR(Table2[[#This Row],[Date of Joining]])</f>
        <v>2020</v>
      </c>
      <c r="P56" s="9" t="str">
        <f t="shared" ca="1" si="0"/>
        <v>5+ years</v>
      </c>
    </row>
    <row r="57" spans="1:16" x14ac:dyDescent="0.3">
      <c r="A57" s="3" t="s">
        <v>5</v>
      </c>
      <c r="B57" s="3"/>
      <c r="C57" s="4">
        <v>129573</v>
      </c>
      <c r="D57" s="5" t="s">
        <v>140</v>
      </c>
      <c r="E57" s="6">
        <v>44090</v>
      </c>
      <c r="F57" s="6">
        <v>45564</v>
      </c>
      <c r="G57" s="7" t="s">
        <v>11</v>
      </c>
      <c r="H57" s="4" t="s">
        <v>17</v>
      </c>
      <c r="I57" s="4" t="s">
        <v>8</v>
      </c>
      <c r="J57" s="8">
        <v>44455</v>
      </c>
      <c r="K57" s="8" t="s">
        <v>67</v>
      </c>
      <c r="L57" s="5" t="s">
        <v>23</v>
      </c>
      <c r="M57" s="5" t="s">
        <v>20</v>
      </c>
      <c r="N57" s="5">
        <v>0</v>
      </c>
      <c r="O57" s="9">
        <f>YEAR(Table2[[#This Row],[Date of Joining]])</f>
        <v>2020</v>
      </c>
      <c r="P57" s="9" t="str">
        <f t="shared" ca="1" si="0"/>
        <v>5+ years</v>
      </c>
    </row>
    <row r="58" spans="1:16" x14ac:dyDescent="0.3">
      <c r="A58" s="3" t="s">
        <v>1</v>
      </c>
      <c r="B58" s="3"/>
      <c r="C58" s="4">
        <v>115742</v>
      </c>
      <c r="D58" s="5" t="s">
        <v>141</v>
      </c>
      <c r="E58" s="6">
        <v>44090</v>
      </c>
      <c r="F58" s="6"/>
      <c r="G58" s="7" t="s">
        <v>11</v>
      </c>
      <c r="H58" s="4" t="s">
        <v>17</v>
      </c>
      <c r="I58" s="4" t="s">
        <v>8</v>
      </c>
      <c r="J58" s="8">
        <v>44462</v>
      </c>
      <c r="K58" s="8" t="s">
        <v>67</v>
      </c>
      <c r="L58" s="5" t="s">
        <v>23</v>
      </c>
      <c r="M58" s="5" t="s">
        <v>20</v>
      </c>
      <c r="N58" s="5">
        <v>0</v>
      </c>
      <c r="O58" s="9">
        <f>YEAR(Table2[[#This Row],[Date of Joining]])</f>
        <v>2020</v>
      </c>
      <c r="P58" s="9" t="str">
        <f t="shared" ca="1" si="0"/>
        <v>5+ years</v>
      </c>
    </row>
    <row r="59" spans="1:16" x14ac:dyDescent="0.3">
      <c r="A59" s="3" t="s">
        <v>1</v>
      </c>
      <c r="B59" s="3"/>
      <c r="C59" s="4">
        <v>126064</v>
      </c>
      <c r="D59" s="5" t="s">
        <v>142</v>
      </c>
      <c r="E59" s="6">
        <v>44090</v>
      </c>
      <c r="F59" s="6"/>
      <c r="G59" s="7" t="s">
        <v>11</v>
      </c>
      <c r="H59" s="4" t="s">
        <v>17</v>
      </c>
      <c r="I59" s="4" t="s">
        <v>8</v>
      </c>
      <c r="J59" s="8">
        <v>44346</v>
      </c>
      <c r="K59" s="8" t="s">
        <v>67</v>
      </c>
      <c r="L59" s="5" t="s">
        <v>23</v>
      </c>
      <c r="M59" s="5" t="s">
        <v>20</v>
      </c>
      <c r="N59" s="5">
        <v>0</v>
      </c>
      <c r="O59" s="9">
        <f>YEAR(Table2[[#This Row],[Date of Joining]])</f>
        <v>2020</v>
      </c>
      <c r="P59" s="9" t="str">
        <f t="shared" ca="1" si="0"/>
        <v>5+ years</v>
      </c>
    </row>
    <row r="60" spans="1:16" x14ac:dyDescent="0.3">
      <c r="A60" s="3" t="s">
        <v>1</v>
      </c>
      <c r="B60" s="3"/>
      <c r="C60" s="4">
        <v>173140</v>
      </c>
      <c r="D60" s="5" t="s">
        <v>143</v>
      </c>
      <c r="E60" s="6">
        <v>44090</v>
      </c>
      <c r="F60" s="6"/>
      <c r="G60" s="5" t="s">
        <v>31</v>
      </c>
      <c r="H60" s="4" t="s">
        <v>17</v>
      </c>
      <c r="I60" s="4" t="s">
        <v>13</v>
      </c>
      <c r="J60" s="8">
        <v>44390</v>
      </c>
      <c r="K60" s="8" t="s">
        <v>67</v>
      </c>
      <c r="L60" s="5" t="s">
        <v>23</v>
      </c>
      <c r="M60" s="5" t="s">
        <v>20</v>
      </c>
      <c r="N60" s="5">
        <v>0</v>
      </c>
      <c r="O60" s="9">
        <f>YEAR(Table2[[#This Row],[Date of Joining]])</f>
        <v>2020</v>
      </c>
      <c r="P60" s="9" t="str">
        <f t="shared" ca="1" si="0"/>
        <v>5+ years</v>
      </c>
    </row>
    <row r="61" spans="1:16" x14ac:dyDescent="0.3">
      <c r="A61" s="3" t="s">
        <v>5</v>
      </c>
      <c r="B61" s="3"/>
      <c r="C61" s="4">
        <v>181592</v>
      </c>
      <c r="D61" s="5" t="s">
        <v>144</v>
      </c>
      <c r="E61" s="6">
        <v>44120</v>
      </c>
      <c r="F61" s="6">
        <v>45325</v>
      </c>
      <c r="G61" s="5" t="s">
        <v>31</v>
      </c>
      <c r="H61" s="4" t="s">
        <v>17</v>
      </c>
      <c r="I61" s="4" t="s">
        <v>13</v>
      </c>
      <c r="J61" s="8">
        <v>44220</v>
      </c>
      <c r="K61" s="8" t="s">
        <v>70</v>
      </c>
      <c r="L61" s="5" t="s">
        <v>14</v>
      </c>
      <c r="M61" s="5" t="s">
        <v>20</v>
      </c>
      <c r="N61" s="5">
        <v>12</v>
      </c>
      <c r="O61" s="9">
        <f>YEAR(Table2[[#This Row],[Date of Joining]])</f>
        <v>2020</v>
      </c>
      <c r="P61" s="9" t="str">
        <f t="shared" ca="1" si="0"/>
        <v>5+ years</v>
      </c>
    </row>
    <row r="62" spans="1:16" x14ac:dyDescent="0.3">
      <c r="A62" s="3" t="s">
        <v>5</v>
      </c>
      <c r="B62" s="3"/>
      <c r="C62" s="4">
        <v>144158</v>
      </c>
      <c r="D62" s="5" t="s">
        <v>145</v>
      </c>
      <c r="E62" s="6">
        <v>44163</v>
      </c>
      <c r="F62" s="6">
        <v>45016</v>
      </c>
      <c r="G62" s="7" t="s">
        <v>21</v>
      </c>
      <c r="H62" s="4" t="s">
        <v>17</v>
      </c>
      <c r="I62" s="4" t="s">
        <v>13</v>
      </c>
      <c r="J62" s="8">
        <v>44296</v>
      </c>
      <c r="K62" s="8" t="s">
        <v>70</v>
      </c>
      <c r="L62" s="5" t="s">
        <v>23</v>
      </c>
      <c r="M62" s="5" t="s">
        <v>10</v>
      </c>
      <c r="N62" s="5">
        <v>6</v>
      </c>
      <c r="O62" s="9">
        <f>YEAR(Table2[[#This Row],[Date of Joining]])</f>
        <v>2020</v>
      </c>
      <c r="P62" s="9" t="str">
        <f t="shared" ca="1" si="0"/>
        <v>5+ years</v>
      </c>
    </row>
    <row r="63" spans="1:16" x14ac:dyDescent="0.3">
      <c r="A63" s="3" t="s">
        <v>1</v>
      </c>
      <c r="B63" s="3"/>
      <c r="C63" s="4">
        <v>178955</v>
      </c>
      <c r="D63" s="5" t="s">
        <v>146</v>
      </c>
      <c r="E63" s="6">
        <v>44167</v>
      </c>
      <c r="F63" s="6"/>
      <c r="G63" s="5" t="s">
        <v>31</v>
      </c>
      <c r="H63" s="4" t="s">
        <v>17</v>
      </c>
      <c r="I63" s="4" t="s">
        <v>13</v>
      </c>
      <c r="J63" s="8">
        <v>44273</v>
      </c>
      <c r="K63" s="8" t="s">
        <v>67</v>
      </c>
      <c r="L63" s="5" t="s">
        <v>23</v>
      </c>
      <c r="M63" s="5" t="s">
        <v>10</v>
      </c>
      <c r="N63" s="5">
        <v>8</v>
      </c>
      <c r="O63" s="9">
        <f>YEAR(Table2[[#This Row],[Date of Joining]])</f>
        <v>2020</v>
      </c>
      <c r="P63" s="9" t="str">
        <f t="shared" ca="1" si="0"/>
        <v>5+ years</v>
      </c>
    </row>
    <row r="64" spans="1:16" x14ac:dyDescent="0.3">
      <c r="A64" s="3" t="s">
        <v>5</v>
      </c>
      <c r="B64" s="3"/>
      <c r="C64" s="4">
        <v>110616</v>
      </c>
      <c r="D64" s="5" t="s">
        <v>147</v>
      </c>
      <c r="E64" s="6">
        <v>44186</v>
      </c>
      <c r="F64" s="6">
        <v>44651</v>
      </c>
      <c r="G64" s="7" t="s">
        <v>21</v>
      </c>
      <c r="H64" s="4" t="s">
        <v>17</v>
      </c>
      <c r="I64" s="4" t="s">
        <v>13</v>
      </c>
      <c r="J64" s="8">
        <v>44216</v>
      </c>
      <c r="K64" s="8" t="s">
        <v>70</v>
      </c>
      <c r="L64" s="5" t="s">
        <v>23</v>
      </c>
      <c r="M64" s="5" t="s">
        <v>15</v>
      </c>
      <c r="N64" s="5">
        <v>9</v>
      </c>
      <c r="O64" s="9">
        <f>YEAR(Table2[[#This Row],[Date of Joining]])</f>
        <v>2020</v>
      </c>
      <c r="P64" s="9" t="str">
        <f t="shared" ca="1" si="0"/>
        <v>5+ years</v>
      </c>
    </row>
    <row r="65" spans="1:16" x14ac:dyDescent="0.3">
      <c r="A65" s="3" t="s">
        <v>5</v>
      </c>
      <c r="B65" s="3"/>
      <c r="C65" s="4">
        <v>120981</v>
      </c>
      <c r="D65" s="5" t="s">
        <v>148</v>
      </c>
      <c r="E65" s="6">
        <v>44191</v>
      </c>
      <c r="F65" s="6">
        <v>45108</v>
      </c>
      <c r="G65" s="7" t="s">
        <v>21</v>
      </c>
      <c r="H65" s="4" t="s">
        <v>17</v>
      </c>
      <c r="I65" s="4" t="s">
        <v>8</v>
      </c>
      <c r="J65" s="8">
        <v>44399</v>
      </c>
      <c r="K65" s="8" t="s">
        <v>67</v>
      </c>
      <c r="L65" s="5" t="s">
        <v>19</v>
      </c>
      <c r="M65" s="5" t="s">
        <v>30</v>
      </c>
      <c r="N65" s="5">
        <v>0</v>
      </c>
      <c r="O65" s="9">
        <f>YEAR(Table2[[#This Row],[Date of Joining]])</f>
        <v>2020</v>
      </c>
      <c r="P65" s="9" t="str">
        <f t="shared" ca="1" si="0"/>
        <v>5+ years</v>
      </c>
    </row>
    <row r="66" spans="1:16" x14ac:dyDescent="0.3">
      <c r="A66" s="3" t="s">
        <v>5</v>
      </c>
      <c r="B66" s="3"/>
      <c r="C66" s="4">
        <v>140182</v>
      </c>
      <c r="D66" s="5" t="s">
        <v>149</v>
      </c>
      <c r="E66" s="6">
        <v>44218</v>
      </c>
      <c r="F66" s="6">
        <v>44635</v>
      </c>
      <c r="G66" s="7" t="s">
        <v>16</v>
      </c>
      <c r="H66" s="4" t="s">
        <v>17</v>
      </c>
      <c r="I66" s="4" t="s">
        <v>8</v>
      </c>
      <c r="J66" s="8">
        <v>44235</v>
      </c>
      <c r="K66" s="8" t="s">
        <v>67</v>
      </c>
      <c r="L66" s="5" t="s">
        <v>19</v>
      </c>
      <c r="M66" s="5" t="s">
        <v>30</v>
      </c>
      <c r="N66" s="5">
        <v>0</v>
      </c>
      <c r="O66" s="9">
        <f>YEAR(Table2[[#This Row],[Date of Joining]])</f>
        <v>2021</v>
      </c>
      <c r="P66" s="9" t="str">
        <f t="shared" ref="P66:P129" ca="1" si="1">IF(DATEDIF(E66,TODAY(),"Y")&gt;=5,"5+ years",
IF(DATEDIF(E66,TODAY(),"Y")&gt;=4,"4+ years",
IF(DATEDIF(E66,TODAY(),"Y")&gt;=3,"3+ years",
IF(DATEDIF(E66,TODAY(),"Y")&gt;=2,"2+ years",
IF(DATEDIF(E66,TODAY(),"Y")&gt;=1,"1+ years","&lt;1 year")))))</f>
        <v>5+ years</v>
      </c>
    </row>
    <row r="67" spans="1:16" x14ac:dyDescent="0.3">
      <c r="A67" s="3" t="s">
        <v>5</v>
      </c>
      <c r="B67" s="3"/>
      <c r="C67" s="4">
        <v>174057</v>
      </c>
      <c r="D67" s="5" t="s">
        <v>150</v>
      </c>
      <c r="E67" s="6">
        <v>44218</v>
      </c>
      <c r="F67" s="6">
        <v>44965</v>
      </c>
      <c r="G67" s="7" t="s">
        <v>16</v>
      </c>
      <c r="H67" s="4" t="s">
        <v>17</v>
      </c>
      <c r="I67" s="4" t="s">
        <v>13</v>
      </c>
      <c r="J67" s="8">
        <v>44511</v>
      </c>
      <c r="K67" s="8" t="s">
        <v>70</v>
      </c>
      <c r="L67" s="5" t="s">
        <v>23</v>
      </c>
      <c r="M67" s="5" t="s">
        <v>30</v>
      </c>
      <c r="N67" s="5">
        <v>6</v>
      </c>
      <c r="O67" s="9">
        <f>YEAR(Table2[[#This Row],[Date of Joining]])</f>
        <v>2021</v>
      </c>
      <c r="P67" s="9" t="str">
        <f t="shared" ca="1" si="1"/>
        <v>5+ years</v>
      </c>
    </row>
    <row r="68" spans="1:16" x14ac:dyDescent="0.3">
      <c r="A68" s="3" t="s">
        <v>5</v>
      </c>
      <c r="B68" s="3"/>
      <c r="C68" s="4">
        <v>124194</v>
      </c>
      <c r="D68" s="5" t="s">
        <v>151</v>
      </c>
      <c r="E68" s="6">
        <v>44225</v>
      </c>
      <c r="F68" s="6">
        <v>44630</v>
      </c>
      <c r="G68" s="7" t="s">
        <v>11</v>
      </c>
      <c r="H68" s="4" t="s">
        <v>17</v>
      </c>
      <c r="I68" s="4" t="s">
        <v>13</v>
      </c>
      <c r="J68" s="8">
        <v>44221</v>
      </c>
      <c r="K68" s="8" t="s">
        <v>70</v>
      </c>
      <c r="L68" s="5" t="s">
        <v>14</v>
      </c>
      <c r="M68" s="5" t="s">
        <v>10</v>
      </c>
      <c r="N68" s="5">
        <v>13</v>
      </c>
      <c r="O68" s="9">
        <f>YEAR(Table2[[#This Row],[Date of Joining]])</f>
        <v>2021</v>
      </c>
      <c r="P68" s="9" t="str">
        <f t="shared" ca="1" si="1"/>
        <v>5+ years</v>
      </c>
    </row>
    <row r="69" spans="1:16" x14ac:dyDescent="0.3">
      <c r="A69" s="3" t="s">
        <v>5</v>
      </c>
      <c r="B69" s="3"/>
      <c r="C69" s="4">
        <v>185420</v>
      </c>
      <c r="D69" s="5" t="s">
        <v>152</v>
      </c>
      <c r="E69" s="6">
        <v>44246</v>
      </c>
      <c r="F69" s="6">
        <v>45199</v>
      </c>
      <c r="G69" s="5" t="s">
        <v>28</v>
      </c>
      <c r="H69" s="4" t="s">
        <v>17</v>
      </c>
      <c r="I69" s="4" t="s">
        <v>13</v>
      </c>
      <c r="J69" s="8">
        <v>44371</v>
      </c>
      <c r="K69" s="8" t="s">
        <v>70</v>
      </c>
      <c r="L69" s="5" t="s">
        <v>23</v>
      </c>
      <c r="M69" s="5" t="s">
        <v>24</v>
      </c>
      <c r="N69" s="5">
        <v>5</v>
      </c>
      <c r="O69" s="9">
        <f>YEAR(Table2[[#This Row],[Date of Joining]])</f>
        <v>2021</v>
      </c>
      <c r="P69" s="9" t="str">
        <f t="shared" ca="1" si="1"/>
        <v>5+ years</v>
      </c>
    </row>
    <row r="70" spans="1:16" x14ac:dyDescent="0.3">
      <c r="A70" s="3" t="s">
        <v>5</v>
      </c>
      <c r="B70" s="3"/>
      <c r="C70" s="4">
        <v>184945</v>
      </c>
      <c r="D70" s="5" t="s">
        <v>153</v>
      </c>
      <c r="E70" s="6">
        <v>44251</v>
      </c>
      <c r="F70" s="6">
        <v>44748</v>
      </c>
      <c r="G70" s="7" t="s">
        <v>11</v>
      </c>
      <c r="H70" s="4" t="s">
        <v>17</v>
      </c>
      <c r="I70" s="4" t="s">
        <v>13</v>
      </c>
      <c r="J70" s="8">
        <v>44466</v>
      </c>
      <c r="K70" s="8" t="s">
        <v>70</v>
      </c>
      <c r="L70" s="5" t="s">
        <v>23</v>
      </c>
      <c r="M70" s="5" t="s">
        <v>10</v>
      </c>
      <c r="N70" s="5">
        <v>10</v>
      </c>
      <c r="O70" s="9">
        <f>YEAR(Table2[[#This Row],[Date of Joining]])</f>
        <v>2021</v>
      </c>
      <c r="P70" s="9" t="str">
        <f t="shared" ca="1" si="1"/>
        <v>5+ years</v>
      </c>
    </row>
    <row r="71" spans="1:16" x14ac:dyDescent="0.3">
      <c r="A71" s="3" t="s">
        <v>1</v>
      </c>
      <c r="B71" s="3"/>
      <c r="C71" s="4">
        <v>129852</v>
      </c>
      <c r="D71" s="5" t="s">
        <v>154</v>
      </c>
      <c r="E71" s="6">
        <v>44257</v>
      </c>
      <c r="F71" s="6"/>
      <c r="G71" s="7" t="s">
        <v>16</v>
      </c>
      <c r="H71" s="4" t="s">
        <v>17</v>
      </c>
      <c r="I71" s="4" t="s">
        <v>13</v>
      </c>
      <c r="J71" s="8">
        <v>44200</v>
      </c>
      <c r="K71" s="8" t="s">
        <v>67</v>
      </c>
      <c r="L71" s="5" t="s">
        <v>14</v>
      </c>
      <c r="M71" s="5" t="s">
        <v>30</v>
      </c>
      <c r="N71" s="5">
        <v>10</v>
      </c>
      <c r="O71" s="9">
        <f>YEAR(Table2[[#This Row],[Date of Joining]])</f>
        <v>2021</v>
      </c>
      <c r="P71" s="9" t="str">
        <f t="shared" ca="1" si="1"/>
        <v>5+ years</v>
      </c>
    </row>
    <row r="72" spans="1:16" x14ac:dyDescent="0.3">
      <c r="A72" s="3" t="s">
        <v>5</v>
      </c>
      <c r="B72" s="3"/>
      <c r="C72" s="4">
        <v>139272</v>
      </c>
      <c r="D72" s="5" t="s">
        <v>155</v>
      </c>
      <c r="E72" s="6">
        <v>44264</v>
      </c>
      <c r="F72" s="6">
        <v>45107</v>
      </c>
      <c r="G72" s="7" t="s">
        <v>21</v>
      </c>
      <c r="H72" s="4" t="s">
        <v>17</v>
      </c>
      <c r="I72" s="4" t="s">
        <v>8</v>
      </c>
      <c r="J72" s="8">
        <v>44363</v>
      </c>
      <c r="K72" s="8" t="s">
        <v>70</v>
      </c>
      <c r="L72" s="5" t="s">
        <v>23</v>
      </c>
      <c r="M72" s="5" t="s">
        <v>30</v>
      </c>
      <c r="N72" s="5">
        <v>8</v>
      </c>
      <c r="O72" s="9">
        <f>YEAR(Table2[[#This Row],[Date of Joining]])</f>
        <v>2021</v>
      </c>
      <c r="P72" s="9" t="str">
        <f t="shared" ca="1" si="1"/>
        <v>5+ years</v>
      </c>
    </row>
    <row r="73" spans="1:16" x14ac:dyDescent="0.3">
      <c r="A73" s="3" t="s">
        <v>1</v>
      </c>
      <c r="B73" s="3"/>
      <c r="C73" s="4">
        <v>194976</v>
      </c>
      <c r="D73" s="5" t="s">
        <v>156</v>
      </c>
      <c r="E73" s="6">
        <v>44271</v>
      </c>
      <c r="F73" s="6"/>
      <c r="G73" s="7" t="s">
        <v>16</v>
      </c>
      <c r="H73" s="4" t="s">
        <v>17</v>
      </c>
      <c r="I73" s="4" t="s">
        <v>8</v>
      </c>
      <c r="J73" s="8">
        <v>44200</v>
      </c>
      <c r="K73" s="8" t="s">
        <v>67</v>
      </c>
      <c r="L73" s="5" t="s">
        <v>23</v>
      </c>
      <c r="M73" s="5" t="s">
        <v>30</v>
      </c>
      <c r="N73" s="5">
        <v>3.5</v>
      </c>
      <c r="O73" s="9">
        <f>YEAR(Table2[[#This Row],[Date of Joining]])</f>
        <v>2021</v>
      </c>
      <c r="P73" s="9" t="str">
        <f t="shared" ca="1" si="1"/>
        <v>5+ years</v>
      </c>
    </row>
    <row r="74" spans="1:16" x14ac:dyDescent="0.3">
      <c r="A74" s="3" t="s">
        <v>1</v>
      </c>
      <c r="B74" s="3"/>
      <c r="C74" s="4">
        <v>132557</v>
      </c>
      <c r="D74" s="5" t="s">
        <v>157</v>
      </c>
      <c r="E74" s="6">
        <v>44343</v>
      </c>
      <c r="F74" s="6"/>
      <c r="G74" s="7" t="s">
        <v>11</v>
      </c>
      <c r="H74" s="4" t="s">
        <v>17</v>
      </c>
      <c r="I74" s="4" t="s">
        <v>8</v>
      </c>
      <c r="J74" s="8">
        <v>44429</v>
      </c>
      <c r="K74" s="8" t="s">
        <v>67</v>
      </c>
      <c r="L74" s="5" t="s">
        <v>23</v>
      </c>
      <c r="M74" s="5" t="s">
        <v>24</v>
      </c>
      <c r="N74" s="5">
        <v>7</v>
      </c>
      <c r="O74" s="9">
        <f>YEAR(Table2[[#This Row],[Date of Joining]])</f>
        <v>2021</v>
      </c>
      <c r="P74" s="9" t="str">
        <f t="shared" ca="1" si="1"/>
        <v>4+ years</v>
      </c>
    </row>
    <row r="75" spans="1:16" x14ac:dyDescent="0.3">
      <c r="A75" s="3" t="s">
        <v>5</v>
      </c>
      <c r="B75" s="3" t="s">
        <v>158</v>
      </c>
      <c r="C75" s="4">
        <v>187280</v>
      </c>
      <c r="D75" s="5" t="s">
        <v>159</v>
      </c>
      <c r="E75" s="6">
        <v>44418</v>
      </c>
      <c r="F75" s="6">
        <v>44611</v>
      </c>
      <c r="G75" s="7" t="s">
        <v>16</v>
      </c>
      <c r="H75" s="4" t="s">
        <v>17</v>
      </c>
      <c r="I75" s="4" t="s">
        <v>8</v>
      </c>
      <c r="J75" s="8">
        <v>44455</v>
      </c>
      <c r="K75" s="8" t="s">
        <v>67</v>
      </c>
      <c r="L75" s="5" t="s">
        <v>19</v>
      </c>
      <c r="M75" s="5" t="s">
        <v>30</v>
      </c>
      <c r="N75" s="5">
        <v>0</v>
      </c>
      <c r="O75" s="9">
        <f>YEAR(Table2[[#This Row],[Date of Joining]])</f>
        <v>2021</v>
      </c>
      <c r="P75" s="9" t="str">
        <f t="shared" ca="1" si="1"/>
        <v>4+ years</v>
      </c>
    </row>
    <row r="76" spans="1:16" x14ac:dyDescent="0.3">
      <c r="A76" s="3" t="s">
        <v>1</v>
      </c>
      <c r="B76" s="3" t="s">
        <v>158</v>
      </c>
      <c r="C76" s="4">
        <v>190396</v>
      </c>
      <c r="D76" s="5" t="s">
        <v>160</v>
      </c>
      <c r="E76" s="6">
        <v>44418</v>
      </c>
      <c r="F76" s="6"/>
      <c r="G76" s="7" t="s">
        <v>16</v>
      </c>
      <c r="H76" s="4" t="s">
        <v>17</v>
      </c>
      <c r="I76" s="4" t="s">
        <v>13</v>
      </c>
      <c r="J76" s="8">
        <v>44513</v>
      </c>
      <c r="K76" s="8" t="s">
        <v>67</v>
      </c>
      <c r="L76" s="5" t="s">
        <v>19</v>
      </c>
      <c r="M76" s="5" t="s">
        <v>30</v>
      </c>
      <c r="N76" s="5">
        <v>0</v>
      </c>
      <c r="O76" s="9">
        <f>YEAR(Table2[[#This Row],[Date of Joining]])</f>
        <v>2021</v>
      </c>
      <c r="P76" s="9" t="str">
        <f t="shared" ca="1" si="1"/>
        <v>4+ years</v>
      </c>
    </row>
    <row r="77" spans="1:16" x14ac:dyDescent="0.3">
      <c r="A77" s="3" t="s">
        <v>6</v>
      </c>
      <c r="B77" s="3"/>
      <c r="C77" s="4">
        <v>161242</v>
      </c>
      <c r="D77" s="5" t="s">
        <v>161</v>
      </c>
      <c r="E77" s="6">
        <v>44420</v>
      </c>
      <c r="F77" s="6"/>
      <c r="G77" s="5" t="s">
        <v>34</v>
      </c>
      <c r="H77" s="4" t="s">
        <v>17</v>
      </c>
      <c r="I77" s="4" t="s">
        <v>13</v>
      </c>
      <c r="J77" s="8">
        <v>44556</v>
      </c>
      <c r="K77" s="8" t="s">
        <v>70</v>
      </c>
      <c r="L77" s="5" t="s">
        <v>23</v>
      </c>
      <c r="M77" s="5" t="s">
        <v>30</v>
      </c>
      <c r="N77" s="5">
        <v>10</v>
      </c>
      <c r="O77" s="9">
        <f>YEAR(Table2[[#This Row],[Date of Joining]])</f>
        <v>2021</v>
      </c>
      <c r="P77" s="9" t="str">
        <f t="shared" ca="1" si="1"/>
        <v>4+ years</v>
      </c>
    </row>
    <row r="78" spans="1:16" x14ac:dyDescent="0.3">
      <c r="A78" s="3" t="s">
        <v>5</v>
      </c>
      <c r="B78" s="3"/>
      <c r="C78" s="4">
        <v>156965</v>
      </c>
      <c r="D78" s="5" t="s">
        <v>162</v>
      </c>
      <c r="E78" s="6">
        <v>44425</v>
      </c>
      <c r="F78" s="6">
        <v>44636</v>
      </c>
      <c r="G78" s="7" t="s">
        <v>16</v>
      </c>
      <c r="H78" s="4" t="s">
        <v>17</v>
      </c>
      <c r="I78" s="4" t="s">
        <v>8</v>
      </c>
      <c r="J78" s="8">
        <v>44247</v>
      </c>
      <c r="K78" s="8" t="s">
        <v>70</v>
      </c>
      <c r="L78" s="5" t="s">
        <v>23</v>
      </c>
      <c r="M78" s="5" t="s">
        <v>30</v>
      </c>
      <c r="N78" s="5">
        <v>11</v>
      </c>
      <c r="O78" s="9">
        <f>YEAR(Table2[[#This Row],[Date of Joining]])</f>
        <v>2021</v>
      </c>
      <c r="P78" s="9" t="str">
        <f t="shared" ca="1" si="1"/>
        <v>4+ years</v>
      </c>
    </row>
    <row r="79" spans="1:16" x14ac:dyDescent="0.3">
      <c r="A79" s="3" t="s">
        <v>5</v>
      </c>
      <c r="B79" s="3"/>
      <c r="C79" s="4">
        <v>192455</v>
      </c>
      <c r="D79" s="5" t="s">
        <v>163</v>
      </c>
      <c r="E79" s="6">
        <v>44440</v>
      </c>
      <c r="F79" s="6">
        <v>44233</v>
      </c>
      <c r="G79" s="7" t="s">
        <v>21</v>
      </c>
      <c r="H79" s="4" t="s">
        <v>17</v>
      </c>
      <c r="I79" s="4" t="s">
        <v>13</v>
      </c>
      <c r="J79" s="8">
        <v>44338</v>
      </c>
      <c r="K79" s="8" t="s">
        <v>70</v>
      </c>
      <c r="L79" s="5" t="s">
        <v>23</v>
      </c>
      <c r="M79" s="5" t="s">
        <v>15</v>
      </c>
      <c r="N79" s="5">
        <v>8</v>
      </c>
      <c r="O79" s="9">
        <f>YEAR(Table2[[#This Row],[Date of Joining]])</f>
        <v>2021</v>
      </c>
      <c r="P79" s="9" t="str">
        <f t="shared" ca="1" si="1"/>
        <v>4+ years</v>
      </c>
    </row>
    <row r="80" spans="1:16" x14ac:dyDescent="0.3">
      <c r="A80" s="3" t="s">
        <v>5</v>
      </c>
      <c r="B80" s="3"/>
      <c r="C80" s="4">
        <v>174038</v>
      </c>
      <c r="D80" s="5" t="s">
        <v>164</v>
      </c>
      <c r="E80" s="6">
        <v>44440</v>
      </c>
      <c r="F80" s="6">
        <v>44282</v>
      </c>
      <c r="G80" s="7" t="s">
        <v>16</v>
      </c>
      <c r="H80" s="4" t="s">
        <v>17</v>
      </c>
      <c r="I80" s="4" t="s">
        <v>8</v>
      </c>
      <c r="J80" s="8">
        <v>44540</v>
      </c>
      <c r="K80" s="8" t="s">
        <v>70</v>
      </c>
      <c r="L80" s="5" t="s">
        <v>23</v>
      </c>
      <c r="M80" s="5" t="s">
        <v>10</v>
      </c>
      <c r="N80" s="5">
        <v>12</v>
      </c>
      <c r="O80" s="9">
        <f>YEAR(Table2[[#This Row],[Date of Joining]])</f>
        <v>2021</v>
      </c>
      <c r="P80" s="9" t="str">
        <f t="shared" ca="1" si="1"/>
        <v>4+ years</v>
      </c>
    </row>
    <row r="81" spans="1:16" x14ac:dyDescent="0.3">
      <c r="A81" s="3" t="s">
        <v>1</v>
      </c>
      <c r="B81" s="3"/>
      <c r="C81" s="4">
        <v>129765</v>
      </c>
      <c r="D81" s="5" t="s">
        <v>165</v>
      </c>
      <c r="E81" s="6">
        <v>44440</v>
      </c>
      <c r="F81" s="6"/>
      <c r="G81" s="7" t="s">
        <v>21</v>
      </c>
      <c r="H81" s="4" t="s">
        <v>17</v>
      </c>
      <c r="I81" s="4" t="s">
        <v>13</v>
      </c>
      <c r="J81" s="8">
        <v>44211</v>
      </c>
      <c r="K81" s="8" t="s">
        <v>67</v>
      </c>
      <c r="L81" s="5" t="s">
        <v>23</v>
      </c>
      <c r="M81" s="5" t="s">
        <v>30</v>
      </c>
      <c r="N81" s="5">
        <v>5</v>
      </c>
      <c r="O81" s="9">
        <f>YEAR(Table2[[#This Row],[Date of Joining]])</f>
        <v>2021</v>
      </c>
      <c r="P81" s="9" t="str">
        <f t="shared" ca="1" si="1"/>
        <v>4+ years</v>
      </c>
    </row>
    <row r="82" spans="1:16" x14ac:dyDescent="0.3">
      <c r="A82" s="3" t="s">
        <v>1</v>
      </c>
      <c r="B82" s="3"/>
      <c r="C82" s="4">
        <v>154732</v>
      </c>
      <c r="D82" s="5" t="s">
        <v>166</v>
      </c>
      <c r="E82" s="6">
        <v>44448</v>
      </c>
      <c r="F82" s="6"/>
      <c r="G82" s="7" t="s">
        <v>25</v>
      </c>
      <c r="H82" s="4" t="s">
        <v>17</v>
      </c>
      <c r="I82" s="4" t="s">
        <v>8</v>
      </c>
      <c r="J82" s="8">
        <v>44507</v>
      </c>
      <c r="K82" s="8" t="s">
        <v>67</v>
      </c>
      <c r="L82" s="5" t="s">
        <v>19</v>
      </c>
      <c r="M82" s="5" t="s">
        <v>30</v>
      </c>
      <c r="N82" s="5">
        <v>0</v>
      </c>
      <c r="O82" s="9">
        <f>YEAR(Table2[[#This Row],[Date of Joining]])</f>
        <v>2021</v>
      </c>
      <c r="P82" s="9" t="str">
        <f t="shared" ca="1" si="1"/>
        <v>4+ years</v>
      </c>
    </row>
    <row r="83" spans="1:16" x14ac:dyDescent="0.3">
      <c r="A83" s="3" t="s">
        <v>1</v>
      </c>
      <c r="B83" s="3"/>
      <c r="C83" s="4">
        <v>137413</v>
      </c>
      <c r="D83" s="5" t="s">
        <v>167</v>
      </c>
      <c r="E83" s="6">
        <v>44455</v>
      </c>
      <c r="F83" s="6"/>
      <c r="G83" s="7" t="s">
        <v>25</v>
      </c>
      <c r="H83" s="4" t="s">
        <v>17</v>
      </c>
      <c r="I83" s="4" t="s">
        <v>13</v>
      </c>
      <c r="J83" s="8">
        <v>44220</v>
      </c>
      <c r="K83" s="8" t="s">
        <v>67</v>
      </c>
      <c r="L83" s="5" t="s">
        <v>14</v>
      </c>
      <c r="M83" s="5" t="s">
        <v>30</v>
      </c>
      <c r="N83" s="5">
        <v>9</v>
      </c>
      <c r="O83" s="9">
        <f>YEAR(Table2[[#This Row],[Date of Joining]])</f>
        <v>2021</v>
      </c>
      <c r="P83" s="9" t="str">
        <f t="shared" ca="1" si="1"/>
        <v>4+ years</v>
      </c>
    </row>
    <row r="84" spans="1:16" x14ac:dyDescent="0.3">
      <c r="A84" s="3" t="s">
        <v>1</v>
      </c>
      <c r="B84" s="3"/>
      <c r="C84" s="4">
        <v>185734</v>
      </c>
      <c r="D84" s="5" t="s">
        <v>168</v>
      </c>
      <c r="E84" s="6">
        <v>44455</v>
      </c>
      <c r="F84" s="6"/>
      <c r="G84" s="7" t="s">
        <v>16</v>
      </c>
      <c r="H84" s="4" t="s">
        <v>17</v>
      </c>
      <c r="I84" s="4" t="s">
        <v>13</v>
      </c>
      <c r="J84" s="8">
        <v>44536</v>
      </c>
      <c r="K84" s="8" t="s">
        <v>67</v>
      </c>
      <c r="L84" s="5" t="s">
        <v>19</v>
      </c>
      <c r="M84" s="5" t="s">
        <v>20</v>
      </c>
      <c r="N84" s="5">
        <v>0</v>
      </c>
      <c r="O84" s="9">
        <f>YEAR(Table2[[#This Row],[Date of Joining]])</f>
        <v>2021</v>
      </c>
      <c r="P84" s="9" t="str">
        <f t="shared" ca="1" si="1"/>
        <v>4+ years</v>
      </c>
    </row>
    <row r="85" spans="1:16" x14ac:dyDescent="0.3">
      <c r="A85" s="3" t="s">
        <v>1</v>
      </c>
      <c r="B85" s="3"/>
      <c r="C85" s="4">
        <v>142749</v>
      </c>
      <c r="D85" s="5" t="s">
        <v>169</v>
      </c>
      <c r="E85" s="6">
        <v>44469</v>
      </c>
      <c r="F85" s="6"/>
      <c r="G85" s="7" t="s">
        <v>16</v>
      </c>
      <c r="H85" s="4" t="s">
        <v>17</v>
      </c>
      <c r="I85" s="4" t="s">
        <v>13</v>
      </c>
      <c r="J85" s="8">
        <v>44381</v>
      </c>
      <c r="K85" s="8" t="s">
        <v>67</v>
      </c>
      <c r="L85" s="5" t="s">
        <v>23</v>
      </c>
      <c r="M85" s="5" t="s">
        <v>30</v>
      </c>
      <c r="N85" s="5">
        <v>17</v>
      </c>
      <c r="O85" s="9">
        <f>YEAR(Table2[[#This Row],[Date of Joining]])</f>
        <v>2021</v>
      </c>
      <c r="P85" s="9" t="str">
        <f t="shared" ca="1" si="1"/>
        <v>4+ years</v>
      </c>
    </row>
    <row r="86" spans="1:16" x14ac:dyDescent="0.3">
      <c r="A86" s="3" t="s">
        <v>5</v>
      </c>
      <c r="B86" s="3"/>
      <c r="C86" s="4">
        <v>116657</v>
      </c>
      <c r="D86" s="5" t="s">
        <v>170</v>
      </c>
      <c r="E86" s="6">
        <v>44490</v>
      </c>
      <c r="F86" s="6">
        <v>44740</v>
      </c>
      <c r="G86" s="7" t="s">
        <v>16</v>
      </c>
      <c r="H86" s="4" t="s">
        <v>17</v>
      </c>
      <c r="I86" s="4" t="s">
        <v>13</v>
      </c>
      <c r="J86" s="8">
        <v>44300</v>
      </c>
      <c r="K86" s="8" t="s">
        <v>67</v>
      </c>
      <c r="L86" s="5" t="s">
        <v>23</v>
      </c>
      <c r="M86" s="5" t="s">
        <v>30</v>
      </c>
      <c r="N86" s="5">
        <v>4.5999999999999996</v>
      </c>
      <c r="O86" s="9">
        <f>YEAR(Table2[[#This Row],[Date of Joining]])</f>
        <v>2021</v>
      </c>
      <c r="P86" s="9" t="str">
        <f t="shared" ca="1" si="1"/>
        <v>4+ years</v>
      </c>
    </row>
    <row r="87" spans="1:16" x14ac:dyDescent="0.3">
      <c r="A87" s="3" t="s">
        <v>1</v>
      </c>
      <c r="B87" s="3"/>
      <c r="C87" s="4">
        <v>144530</v>
      </c>
      <c r="D87" s="5" t="s">
        <v>171</v>
      </c>
      <c r="E87" s="6">
        <v>44518</v>
      </c>
      <c r="F87" s="6"/>
      <c r="G87" s="7" t="s">
        <v>16</v>
      </c>
      <c r="H87" s="4" t="s">
        <v>17</v>
      </c>
      <c r="I87" s="4" t="s">
        <v>13</v>
      </c>
      <c r="J87" s="8">
        <v>44275</v>
      </c>
      <c r="K87" s="8" t="s">
        <v>67</v>
      </c>
      <c r="L87" s="5" t="s">
        <v>23</v>
      </c>
      <c r="M87" s="5" t="s">
        <v>33</v>
      </c>
      <c r="N87" s="5">
        <v>14</v>
      </c>
      <c r="O87" s="9">
        <f>YEAR(Table2[[#This Row],[Date of Joining]])</f>
        <v>2021</v>
      </c>
      <c r="P87" s="9" t="str">
        <f t="shared" ca="1" si="1"/>
        <v>4+ years</v>
      </c>
    </row>
    <row r="88" spans="1:16" x14ac:dyDescent="0.3">
      <c r="A88" s="3" t="s">
        <v>1</v>
      </c>
      <c r="B88" s="3"/>
      <c r="C88" s="4">
        <v>101259</v>
      </c>
      <c r="D88" s="5" t="s">
        <v>172</v>
      </c>
      <c r="E88" s="6">
        <v>44616</v>
      </c>
      <c r="F88" s="6"/>
      <c r="G88" s="7" t="s">
        <v>11</v>
      </c>
      <c r="H88" s="4" t="s">
        <v>17</v>
      </c>
      <c r="I88" s="4" t="s">
        <v>13</v>
      </c>
      <c r="J88" s="8">
        <v>44527</v>
      </c>
      <c r="K88" s="8" t="s">
        <v>70</v>
      </c>
      <c r="L88" s="5" t="s">
        <v>14</v>
      </c>
      <c r="M88" s="5" t="s">
        <v>30</v>
      </c>
      <c r="N88" s="5">
        <v>12</v>
      </c>
      <c r="O88" s="9">
        <f>YEAR(Table2[[#This Row],[Date of Joining]])</f>
        <v>2022</v>
      </c>
      <c r="P88" s="9" t="str">
        <f t="shared" ca="1" si="1"/>
        <v>4+ years</v>
      </c>
    </row>
    <row r="89" spans="1:16" x14ac:dyDescent="0.3">
      <c r="A89" s="3" t="s">
        <v>1</v>
      </c>
      <c r="B89" s="3"/>
      <c r="C89" s="4">
        <v>122323</v>
      </c>
      <c r="D89" s="5" t="s">
        <v>173</v>
      </c>
      <c r="E89" s="6">
        <v>44623</v>
      </c>
      <c r="F89" s="6"/>
      <c r="G89" s="5" t="s">
        <v>28</v>
      </c>
      <c r="H89" s="4" t="s">
        <v>17</v>
      </c>
      <c r="I89" s="4" t="s">
        <v>8</v>
      </c>
      <c r="J89" s="8">
        <v>44426</v>
      </c>
      <c r="K89" s="8" t="s">
        <v>70</v>
      </c>
      <c r="L89" s="5" t="s">
        <v>23</v>
      </c>
      <c r="M89" s="5" t="s">
        <v>33</v>
      </c>
      <c r="N89" s="5">
        <v>14</v>
      </c>
      <c r="O89" s="9">
        <f>YEAR(Table2[[#This Row],[Date of Joining]])</f>
        <v>2022</v>
      </c>
      <c r="P89" s="9" t="str">
        <f t="shared" ca="1" si="1"/>
        <v>4+ years</v>
      </c>
    </row>
    <row r="90" spans="1:16" x14ac:dyDescent="0.3">
      <c r="A90" s="3" t="s">
        <v>1</v>
      </c>
      <c r="B90" s="3"/>
      <c r="C90" s="4">
        <v>136489</v>
      </c>
      <c r="D90" s="5" t="s">
        <v>174</v>
      </c>
      <c r="E90" s="6">
        <v>44637</v>
      </c>
      <c r="F90" s="6"/>
      <c r="G90" s="7" t="s">
        <v>16</v>
      </c>
      <c r="H90" s="4" t="s">
        <v>17</v>
      </c>
      <c r="I90" s="4" t="s">
        <v>13</v>
      </c>
      <c r="J90" s="8">
        <v>44230</v>
      </c>
      <c r="K90" s="8" t="s">
        <v>70</v>
      </c>
      <c r="L90" s="5" t="s">
        <v>23</v>
      </c>
      <c r="M90" s="5" t="s">
        <v>33</v>
      </c>
      <c r="N90" s="5">
        <v>5.3</v>
      </c>
      <c r="O90" s="9">
        <f>YEAR(Table2[[#This Row],[Date of Joining]])</f>
        <v>2022</v>
      </c>
      <c r="P90" s="9" t="str">
        <f t="shared" ca="1" si="1"/>
        <v>4+ years</v>
      </c>
    </row>
    <row r="91" spans="1:16" x14ac:dyDescent="0.3">
      <c r="A91" s="3" t="s">
        <v>1</v>
      </c>
      <c r="B91" s="3"/>
      <c r="C91" s="4">
        <v>107161</v>
      </c>
      <c r="D91" s="5" t="s">
        <v>175</v>
      </c>
      <c r="E91" s="6">
        <v>44644</v>
      </c>
      <c r="F91" s="6"/>
      <c r="G91" s="7" t="s">
        <v>21</v>
      </c>
      <c r="H91" s="4" t="s">
        <v>17</v>
      </c>
      <c r="I91" s="4" t="s">
        <v>8</v>
      </c>
      <c r="J91" s="8">
        <v>44402</v>
      </c>
      <c r="K91" s="8" t="s">
        <v>67</v>
      </c>
      <c r="L91" s="5" t="s">
        <v>19</v>
      </c>
      <c r="M91" s="5" t="s">
        <v>33</v>
      </c>
      <c r="N91" s="5">
        <v>2.5</v>
      </c>
      <c r="O91" s="9">
        <f>YEAR(Table2[[#This Row],[Date of Joining]])</f>
        <v>2022</v>
      </c>
      <c r="P91" s="9" t="str">
        <f t="shared" ca="1" si="1"/>
        <v>3+ years</v>
      </c>
    </row>
    <row r="92" spans="1:16" x14ac:dyDescent="0.3">
      <c r="A92" s="3" t="s">
        <v>1</v>
      </c>
      <c r="B92" s="3"/>
      <c r="C92" s="4">
        <v>182061</v>
      </c>
      <c r="D92" s="5" t="s">
        <v>176</v>
      </c>
      <c r="E92" s="6">
        <v>44644</v>
      </c>
      <c r="F92" s="6"/>
      <c r="G92" s="7" t="s">
        <v>16</v>
      </c>
      <c r="H92" s="4" t="s">
        <v>17</v>
      </c>
      <c r="I92" s="4" t="s">
        <v>13</v>
      </c>
      <c r="J92" s="8">
        <v>44322</v>
      </c>
      <c r="K92" s="8" t="s">
        <v>67</v>
      </c>
      <c r="L92" s="5" t="s">
        <v>23</v>
      </c>
      <c r="M92" s="5" t="s">
        <v>33</v>
      </c>
      <c r="N92" s="5">
        <v>2.11</v>
      </c>
      <c r="O92" s="9">
        <f>YEAR(Table2[[#This Row],[Date of Joining]])</f>
        <v>2022</v>
      </c>
      <c r="P92" s="9" t="str">
        <f t="shared" ca="1" si="1"/>
        <v>3+ years</v>
      </c>
    </row>
    <row r="93" spans="1:16" x14ac:dyDescent="0.3">
      <c r="A93" s="3" t="s">
        <v>1</v>
      </c>
      <c r="B93" s="3"/>
      <c r="C93" s="4">
        <v>123190</v>
      </c>
      <c r="D93" s="5" t="s">
        <v>177</v>
      </c>
      <c r="E93" s="6">
        <v>44658</v>
      </c>
      <c r="F93" s="6"/>
      <c r="G93" s="7" t="s">
        <v>16</v>
      </c>
      <c r="H93" s="4" t="s">
        <v>17</v>
      </c>
      <c r="I93" s="4" t="s">
        <v>8</v>
      </c>
      <c r="J93" s="8">
        <v>44214</v>
      </c>
      <c r="K93" s="8" t="s">
        <v>67</v>
      </c>
      <c r="L93" s="5" t="s">
        <v>19</v>
      </c>
      <c r="M93" s="5" t="s">
        <v>33</v>
      </c>
      <c r="N93" s="5">
        <v>0</v>
      </c>
      <c r="O93" s="9">
        <f>YEAR(Table2[[#This Row],[Date of Joining]])</f>
        <v>2022</v>
      </c>
      <c r="P93" s="9" t="str">
        <f t="shared" ca="1" si="1"/>
        <v>3+ years</v>
      </c>
    </row>
    <row r="94" spans="1:16" x14ac:dyDescent="0.3">
      <c r="A94" s="3" t="s">
        <v>1</v>
      </c>
      <c r="B94" s="3"/>
      <c r="C94" s="4">
        <v>118638</v>
      </c>
      <c r="D94" s="5" t="s">
        <v>178</v>
      </c>
      <c r="E94" s="6">
        <v>44658</v>
      </c>
      <c r="F94" s="6"/>
      <c r="G94" s="7" t="s">
        <v>16</v>
      </c>
      <c r="H94" s="4" t="s">
        <v>17</v>
      </c>
      <c r="I94" s="4" t="s">
        <v>13</v>
      </c>
      <c r="J94" s="8">
        <v>44524</v>
      </c>
      <c r="K94" s="8" t="s">
        <v>70</v>
      </c>
      <c r="L94" s="5" t="s">
        <v>23</v>
      </c>
      <c r="M94" s="5" t="s">
        <v>33</v>
      </c>
      <c r="N94" s="5">
        <v>15</v>
      </c>
      <c r="O94" s="9">
        <f>YEAR(Table2[[#This Row],[Date of Joining]])</f>
        <v>2022</v>
      </c>
      <c r="P94" s="9" t="str">
        <f t="shared" ca="1" si="1"/>
        <v>3+ years</v>
      </c>
    </row>
    <row r="95" spans="1:16" x14ac:dyDescent="0.3">
      <c r="A95" s="3" t="s">
        <v>1</v>
      </c>
      <c r="B95" s="3"/>
      <c r="C95" s="4">
        <v>132330</v>
      </c>
      <c r="D95" s="5" t="s">
        <v>179</v>
      </c>
      <c r="E95" s="6">
        <v>44665</v>
      </c>
      <c r="F95" s="6"/>
      <c r="G95" s="5" t="s">
        <v>34</v>
      </c>
      <c r="H95" s="4" t="s">
        <v>17</v>
      </c>
      <c r="I95" s="4" t="s">
        <v>13</v>
      </c>
      <c r="J95" s="8">
        <v>44483</v>
      </c>
      <c r="K95" s="8" t="s">
        <v>70</v>
      </c>
      <c r="L95" s="5" t="s">
        <v>14</v>
      </c>
      <c r="M95" s="5" t="s">
        <v>20</v>
      </c>
      <c r="N95" s="5">
        <v>14</v>
      </c>
      <c r="O95" s="9">
        <f>YEAR(Table2[[#This Row],[Date of Joining]])</f>
        <v>2022</v>
      </c>
      <c r="P95" s="9" t="str">
        <f t="shared" ca="1" si="1"/>
        <v>3+ years</v>
      </c>
    </row>
    <row r="96" spans="1:16" x14ac:dyDescent="0.3">
      <c r="A96" s="3" t="s">
        <v>1</v>
      </c>
      <c r="B96" s="3"/>
      <c r="C96" s="4">
        <v>191594</v>
      </c>
      <c r="D96" s="5" t="s">
        <v>180</v>
      </c>
      <c r="E96" s="6">
        <v>44670</v>
      </c>
      <c r="F96" s="6"/>
      <c r="G96" s="5" t="s">
        <v>28</v>
      </c>
      <c r="H96" s="4" t="s">
        <v>17</v>
      </c>
      <c r="I96" s="4" t="s">
        <v>13</v>
      </c>
      <c r="J96" s="8">
        <v>44446</v>
      </c>
      <c r="K96" s="8" t="s">
        <v>70</v>
      </c>
      <c r="L96" s="5" t="s">
        <v>23</v>
      </c>
      <c r="M96" s="5" t="s">
        <v>30</v>
      </c>
      <c r="N96" s="5">
        <v>8</v>
      </c>
      <c r="O96" s="9">
        <f>YEAR(Table2[[#This Row],[Date of Joining]])</f>
        <v>2022</v>
      </c>
      <c r="P96" s="9" t="str">
        <f t="shared" ca="1" si="1"/>
        <v>3+ years</v>
      </c>
    </row>
    <row r="97" spans="1:16" x14ac:dyDescent="0.3">
      <c r="A97" s="3" t="s">
        <v>6</v>
      </c>
      <c r="B97" s="3"/>
      <c r="C97" s="4">
        <v>152991</v>
      </c>
      <c r="D97" s="5" t="s">
        <v>181</v>
      </c>
      <c r="E97" s="6">
        <v>44686</v>
      </c>
      <c r="F97" s="6"/>
      <c r="G97" s="7" t="s">
        <v>11</v>
      </c>
      <c r="H97" s="4" t="s">
        <v>17</v>
      </c>
      <c r="I97" s="4" t="s">
        <v>13</v>
      </c>
      <c r="J97" s="8">
        <v>44245</v>
      </c>
      <c r="K97" s="8" t="s">
        <v>70</v>
      </c>
      <c r="L97" s="5" t="s">
        <v>23</v>
      </c>
      <c r="M97" s="5" t="s">
        <v>30</v>
      </c>
      <c r="N97" s="5">
        <v>15</v>
      </c>
      <c r="O97" s="9">
        <f>YEAR(Table2[[#This Row],[Date of Joining]])</f>
        <v>2022</v>
      </c>
      <c r="P97" s="9" t="str">
        <f t="shared" ca="1" si="1"/>
        <v>3+ years</v>
      </c>
    </row>
    <row r="98" spans="1:16" x14ac:dyDescent="0.3">
      <c r="A98" s="3" t="s">
        <v>5</v>
      </c>
      <c r="B98" s="3" t="s">
        <v>158</v>
      </c>
      <c r="C98" s="4">
        <v>101996</v>
      </c>
      <c r="D98" s="5" t="s">
        <v>182</v>
      </c>
      <c r="E98" s="6">
        <v>44742</v>
      </c>
      <c r="F98" s="6">
        <v>45108</v>
      </c>
      <c r="G98" s="7" t="s">
        <v>11</v>
      </c>
      <c r="H98" s="4" t="s">
        <v>17</v>
      </c>
      <c r="I98" s="4" t="s">
        <v>13</v>
      </c>
      <c r="J98" s="8">
        <v>44414</v>
      </c>
      <c r="K98" s="8" t="s">
        <v>67</v>
      </c>
      <c r="L98" s="5" t="s">
        <v>19</v>
      </c>
      <c r="M98" s="5" t="s">
        <v>33</v>
      </c>
      <c r="N98" s="5">
        <v>1</v>
      </c>
      <c r="O98" s="9">
        <f>YEAR(Table2[[#This Row],[Date of Joining]])</f>
        <v>2022</v>
      </c>
      <c r="P98" s="9" t="str">
        <f t="shared" ca="1" si="1"/>
        <v>3+ years</v>
      </c>
    </row>
    <row r="99" spans="1:16" x14ac:dyDescent="0.3">
      <c r="A99" s="3" t="s">
        <v>5</v>
      </c>
      <c r="B99" s="3"/>
      <c r="C99" s="4">
        <v>138939</v>
      </c>
      <c r="D99" s="5" t="s">
        <v>183</v>
      </c>
      <c r="E99" s="6">
        <v>44749</v>
      </c>
      <c r="F99" s="6">
        <v>45054</v>
      </c>
      <c r="G99" s="7" t="s">
        <v>11</v>
      </c>
      <c r="H99" s="4" t="s">
        <v>17</v>
      </c>
      <c r="I99" s="4" t="s">
        <v>8</v>
      </c>
      <c r="J99" s="8">
        <v>44289</v>
      </c>
      <c r="K99" s="8" t="s">
        <v>70</v>
      </c>
      <c r="L99" s="5" t="s">
        <v>23</v>
      </c>
      <c r="M99" s="5" t="s">
        <v>30</v>
      </c>
      <c r="N99" s="5">
        <v>6</v>
      </c>
      <c r="O99" s="9">
        <f>YEAR(Table2[[#This Row],[Date of Joining]])</f>
        <v>2022</v>
      </c>
      <c r="P99" s="9" t="str">
        <f t="shared" ca="1" si="1"/>
        <v>3+ years</v>
      </c>
    </row>
    <row r="100" spans="1:16" x14ac:dyDescent="0.3">
      <c r="A100" s="3" t="s">
        <v>5</v>
      </c>
      <c r="B100" s="3"/>
      <c r="C100" s="4">
        <v>198396</v>
      </c>
      <c r="D100" s="5" t="s">
        <v>184</v>
      </c>
      <c r="E100" s="6">
        <v>44763</v>
      </c>
      <c r="F100" s="6">
        <v>45324</v>
      </c>
      <c r="G100" s="7" t="s">
        <v>11</v>
      </c>
      <c r="H100" s="4" t="s">
        <v>17</v>
      </c>
      <c r="I100" s="4" t="s">
        <v>13</v>
      </c>
      <c r="J100" s="8">
        <v>44208</v>
      </c>
      <c r="K100" s="8" t="s">
        <v>70</v>
      </c>
      <c r="L100" s="5" t="s">
        <v>14</v>
      </c>
      <c r="M100" s="5" t="s">
        <v>10</v>
      </c>
      <c r="N100" s="5">
        <v>18</v>
      </c>
      <c r="O100" s="9">
        <f>YEAR(Table2[[#This Row],[Date of Joining]])</f>
        <v>2022</v>
      </c>
      <c r="P100" s="9" t="str">
        <f t="shared" ca="1" si="1"/>
        <v>3+ years</v>
      </c>
    </row>
    <row r="101" spans="1:16" x14ac:dyDescent="0.3">
      <c r="A101" s="3" t="s">
        <v>1</v>
      </c>
      <c r="B101" s="3"/>
      <c r="C101" s="4">
        <v>194143</v>
      </c>
      <c r="D101" s="5" t="s">
        <v>185</v>
      </c>
      <c r="E101" s="6">
        <v>44763</v>
      </c>
      <c r="F101" s="6"/>
      <c r="G101" s="7" t="s">
        <v>16</v>
      </c>
      <c r="H101" s="4" t="s">
        <v>17</v>
      </c>
      <c r="I101" s="4" t="s">
        <v>13</v>
      </c>
      <c r="J101" s="8">
        <v>44248</v>
      </c>
      <c r="K101" s="8" t="s">
        <v>70</v>
      </c>
      <c r="L101" s="5" t="s">
        <v>23</v>
      </c>
      <c r="M101" s="5" t="s">
        <v>33</v>
      </c>
      <c r="N101" s="5">
        <v>6.5</v>
      </c>
      <c r="O101" s="9">
        <f>YEAR(Table2[[#This Row],[Date of Joining]])</f>
        <v>2022</v>
      </c>
      <c r="P101" s="9" t="str">
        <f t="shared" ca="1" si="1"/>
        <v>3+ years</v>
      </c>
    </row>
    <row r="102" spans="1:16" x14ac:dyDescent="0.3">
      <c r="A102" s="3" t="s">
        <v>6</v>
      </c>
      <c r="B102" s="3"/>
      <c r="C102" s="4">
        <v>134729</v>
      </c>
      <c r="D102" s="5" t="s">
        <v>186</v>
      </c>
      <c r="E102" s="6">
        <v>44768</v>
      </c>
      <c r="F102" s="6"/>
      <c r="G102" s="7" t="s">
        <v>11</v>
      </c>
      <c r="H102" s="4" t="s">
        <v>17</v>
      </c>
      <c r="I102" s="4" t="s">
        <v>13</v>
      </c>
      <c r="J102" s="8">
        <v>44206</v>
      </c>
      <c r="K102" s="8" t="s">
        <v>67</v>
      </c>
      <c r="L102" s="5" t="s">
        <v>23</v>
      </c>
      <c r="M102" s="5" t="s">
        <v>30</v>
      </c>
      <c r="N102" s="5">
        <v>7</v>
      </c>
      <c r="O102" s="9">
        <f>YEAR(Table2[[#This Row],[Date of Joining]])</f>
        <v>2022</v>
      </c>
      <c r="P102" s="9" t="str">
        <f t="shared" ca="1" si="1"/>
        <v>3+ years</v>
      </c>
    </row>
    <row r="103" spans="1:16" x14ac:dyDescent="0.3">
      <c r="A103" s="3" t="s">
        <v>5</v>
      </c>
      <c r="B103" s="3"/>
      <c r="C103" s="4">
        <v>186526</v>
      </c>
      <c r="D103" s="5" t="s">
        <v>187</v>
      </c>
      <c r="E103" s="6">
        <v>44805</v>
      </c>
      <c r="F103" s="6">
        <v>45269</v>
      </c>
      <c r="G103" s="7" t="s">
        <v>16</v>
      </c>
      <c r="H103" s="4" t="s">
        <v>17</v>
      </c>
      <c r="I103" s="4" t="s">
        <v>8</v>
      </c>
      <c r="J103" s="8">
        <v>44540</v>
      </c>
      <c r="K103" s="8" t="s">
        <v>70</v>
      </c>
      <c r="L103" s="5" t="s">
        <v>19</v>
      </c>
      <c r="M103" s="5" t="s">
        <v>33</v>
      </c>
      <c r="N103" s="5">
        <v>1.8</v>
      </c>
      <c r="O103" s="9">
        <f>YEAR(Table2[[#This Row],[Date of Joining]])</f>
        <v>2022</v>
      </c>
      <c r="P103" s="9" t="str">
        <f t="shared" ca="1" si="1"/>
        <v>3+ years</v>
      </c>
    </row>
    <row r="104" spans="1:16" x14ac:dyDescent="0.3">
      <c r="A104" s="3" t="s">
        <v>1</v>
      </c>
      <c r="B104" s="3"/>
      <c r="C104" s="4">
        <v>115395</v>
      </c>
      <c r="D104" s="5" t="s">
        <v>188</v>
      </c>
      <c r="E104" s="6">
        <v>44805</v>
      </c>
      <c r="F104" s="6"/>
      <c r="G104" s="7" t="s">
        <v>16</v>
      </c>
      <c r="H104" s="4" t="s">
        <v>17</v>
      </c>
      <c r="I104" s="4" t="s">
        <v>8</v>
      </c>
      <c r="J104" s="8">
        <v>44495</v>
      </c>
      <c r="K104" s="8" t="s">
        <v>67</v>
      </c>
      <c r="L104" s="5" t="s">
        <v>19</v>
      </c>
      <c r="M104" s="5" t="s">
        <v>33</v>
      </c>
      <c r="N104" s="5">
        <v>3.5</v>
      </c>
      <c r="O104" s="9">
        <f>YEAR(Table2[[#This Row],[Date of Joining]])</f>
        <v>2022</v>
      </c>
      <c r="P104" s="9" t="str">
        <f t="shared" ca="1" si="1"/>
        <v>3+ years</v>
      </c>
    </row>
    <row r="105" spans="1:16" x14ac:dyDescent="0.3">
      <c r="A105" s="3" t="s">
        <v>1</v>
      </c>
      <c r="B105" s="3"/>
      <c r="C105" s="4">
        <v>160948</v>
      </c>
      <c r="D105" s="5" t="s">
        <v>189</v>
      </c>
      <c r="E105" s="6">
        <v>44805</v>
      </c>
      <c r="F105" s="6"/>
      <c r="G105" s="7" t="s">
        <v>16</v>
      </c>
      <c r="H105" s="4" t="s">
        <v>17</v>
      </c>
      <c r="I105" s="4" t="s">
        <v>8</v>
      </c>
      <c r="J105" s="8">
        <v>44472</v>
      </c>
      <c r="K105" s="8" t="s">
        <v>67</v>
      </c>
      <c r="L105" s="5" t="s">
        <v>19</v>
      </c>
      <c r="M105" s="5" t="s">
        <v>33</v>
      </c>
      <c r="N105" s="5">
        <v>0</v>
      </c>
      <c r="O105" s="9">
        <f>YEAR(Table2[[#This Row],[Date of Joining]])</f>
        <v>2022</v>
      </c>
      <c r="P105" s="9" t="str">
        <f t="shared" ca="1" si="1"/>
        <v>3+ years</v>
      </c>
    </row>
    <row r="106" spans="1:16" x14ac:dyDescent="0.3">
      <c r="A106" s="3" t="s">
        <v>1</v>
      </c>
      <c r="B106" s="3"/>
      <c r="C106" s="4">
        <v>163814</v>
      </c>
      <c r="D106" s="5" t="s">
        <v>190</v>
      </c>
      <c r="E106" s="6">
        <v>44805</v>
      </c>
      <c r="F106" s="6"/>
      <c r="G106" s="7" t="s">
        <v>21</v>
      </c>
      <c r="H106" s="4" t="s">
        <v>17</v>
      </c>
      <c r="I106" s="4" t="s">
        <v>13</v>
      </c>
      <c r="J106" s="8">
        <v>44208</v>
      </c>
      <c r="K106" s="8" t="s">
        <v>67</v>
      </c>
      <c r="L106" s="5" t="s">
        <v>19</v>
      </c>
      <c r="M106" s="5" t="s">
        <v>33</v>
      </c>
      <c r="N106" s="5">
        <v>2</v>
      </c>
      <c r="O106" s="9">
        <f>YEAR(Table2[[#This Row],[Date of Joining]])</f>
        <v>2022</v>
      </c>
      <c r="P106" s="9" t="str">
        <f t="shared" ca="1" si="1"/>
        <v>3+ years</v>
      </c>
    </row>
    <row r="107" spans="1:16" x14ac:dyDescent="0.3">
      <c r="A107" s="3" t="s">
        <v>1</v>
      </c>
      <c r="B107" s="3"/>
      <c r="C107" s="4">
        <v>163161</v>
      </c>
      <c r="D107" s="5" t="s">
        <v>191</v>
      </c>
      <c r="E107" s="6">
        <v>44805</v>
      </c>
      <c r="F107" s="6"/>
      <c r="G107" s="7" t="s">
        <v>16</v>
      </c>
      <c r="H107" s="4" t="s">
        <v>17</v>
      </c>
      <c r="I107" s="4" t="s">
        <v>13</v>
      </c>
      <c r="J107" s="8">
        <v>44215</v>
      </c>
      <c r="K107" s="8" t="s">
        <v>70</v>
      </c>
      <c r="L107" s="5" t="s">
        <v>23</v>
      </c>
      <c r="M107" s="5" t="s">
        <v>33</v>
      </c>
      <c r="N107" s="5">
        <v>13</v>
      </c>
      <c r="O107" s="9">
        <f>YEAR(Table2[[#This Row],[Date of Joining]])</f>
        <v>2022</v>
      </c>
      <c r="P107" s="9" t="str">
        <f t="shared" ca="1" si="1"/>
        <v>3+ years</v>
      </c>
    </row>
    <row r="108" spans="1:16" x14ac:dyDescent="0.3">
      <c r="A108" s="3" t="s">
        <v>1</v>
      </c>
      <c r="B108" s="3"/>
      <c r="C108" s="4">
        <v>173240</v>
      </c>
      <c r="D108" s="5" t="s">
        <v>192</v>
      </c>
      <c r="E108" s="6">
        <v>44819</v>
      </c>
      <c r="F108" s="6"/>
      <c r="G108" s="7" t="s">
        <v>21</v>
      </c>
      <c r="H108" s="4" t="s">
        <v>17</v>
      </c>
      <c r="I108" s="4" t="s">
        <v>8</v>
      </c>
      <c r="J108" s="8">
        <v>44229</v>
      </c>
      <c r="K108" s="8" t="s">
        <v>70</v>
      </c>
      <c r="L108" s="5" t="s">
        <v>23</v>
      </c>
      <c r="M108" s="5" t="s">
        <v>33</v>
      </c>
      <c r="N108" s="5">
        <v>8.1999999999999993</v>
      </c>
      <c r="O108" s="9">
        <f>YEAR(Table2[[#This Row],[Date of Joining]])</f>
        <v>2022</v>
      </c>
      <c r="P108" s="9" t="str">
        <f t="shared" ca="1" si="1"/>
        <v>3+ years</v>
      </c>
    </row>
    <row r="109" spans="1:16" x14ac:dyDescent="0.3">
      <c r="A109" s="3" t="s">
        <v>1</v>
      </c>
      <c r="B109" s="3"/>
      <c r="C109" s="4">
        <v>109673</v>
      </c>
      <c r="D109" s="5" t="s">
        <v>193</v>
      </c>
      <c r="E109" s="6">
        <v>44840</v>
      </c>
      <c r="F109" s="6"/>
      <c r="G109" s="7" t="s">
        <v>16</v>
      </c>
      <c r="H109" s="4" t="s">
        <v>17</v>
      </c>
      <c r="I109" s="4" t="s">
        <v>13</v>
      </c>
      <c r="J109" s="8">
        <v>44326</v>
      </c>
      <c r="K109" s="8" t="s">
        <v>67</v>
      </c>
      <c r="L109" s="5" t="s">
        <v>19</v>
      </c>
      <c r="M109" s="5" t="s">
        <v>33</v>
      </c>
      <c r="N109" s="5">
        <v>7.6</v>
      </c>
      <c r="O109" s="9">
        <f>YEAR(Table2[[#This Row],[Date of Joining]])</f>
        <v>2022</v>
      </c>
      <c r="P109" s="9" t="str">
        <f t="shared" ca="1" si="1"/>
        <v>3+ years</v>
      </c>
    </row>
    <row r="110" spans="1:16" x14ac:dyDescent="0.3">
      <c r="A110" s="3" t="s">
        <v>1</v>
      </c>
      <c r="B110" s="3"/>
      <c r="C110" s="4">
        <v>138302</v>
      </c>
      <c r="D110" s="5" t="s">
        <v>194</v>
      </c>
      <c r="E110" s="6">
        <v>44847</v>
      </c>
      <c r="F110" s="6"/>
      <c r="G110" s="7" t="s">
        <v>16</v>
      </c>
      <c r="H110" s="4" t="s">
        <v>17</v>
      </c>
      <c r="I110" s="4" t="s">
        <v>13</v>
      </c>
      <c r="J110" s="8">
        <v>44433</v>
      </c>
      <c r="K110" s="8" t="s">
        <v>67</v>
      </c>
      <c r="L110" s="5" t="s">
        <v>19</v>
      </c>
      <c r="M110" s="5" t="s">
        <v>33</v>
      </c>
      <c r="N110" s="5">
        <v>6.2</v>
      </c>
      <c r="O110" s="9">
        <f>YEAR(Table2[[#This Row],[Date of Joining]])</f>
        <v>2022</v>
      </c>
      <c r="P110" s="9" t="str">
        <f t="shared" ca="1" si="1"/>
        <v>3+ years</v>
      </c>
    </row>
    <row r="111" spans="1:16" x14ac:dyDescent="0.3">
      <c r="A111" s="3" t="s">
        <v>6</v>
      </c>
      <c r="B111" s="3"/>
      <c r="C111" s="4">
        <v>126765</v>
      </c>
      <c r="D111" s="5" t="s">
        <v>195</v>
      </c>
      <c r="E111" s="6">
        <v>44868</v>
      </c>
      <c r="F111" s="6"/>
      <c r="G111" s="7" t="s">
        <v>11</v>
      </c>
      <c r="H111" s="4" t="s">
        <v>17</v>
      </c>
      <c r="I111" s="4" t="s">
        <v>13</v>
      </c>
      <c r="J111" s="8">
        <v>44217</v>
      </c>
      <c r="K111" s="8" t="s">
        <v>70</v>
      </c>
      <c r="L111" s="5" t="s">
        <v>23</v>
      </c>
      <c r="M111" s="5" t="s">
        <v>30</v>
      </c>
      <c r="N111" s="5">
        <v>15</v>
      </c>
      <c r="O111" s="9">
        <f>YEAR(Table2[[#This Row],[Date of Joining]])</f>
        <v>2022</v>
      </c>
      <c r="P111" s="9" t="str">
        <f t="shared" ca="1" si="1"/>
        <v>3+ years</v>
      </c>
    </row>
    <row r="112" spans="1:16" x14ac:dyDescent="0.3">
      <c r="A112" s="3" t="s">
        <v>6</v>
      </c>
      <c r="B112" s="3"/>
      <c r="C112" s="4">
        <v>188099</v>
      </c>
      <c r="D112" s="5" t="s">
        <v>196</v>
      </c>
      <c r="E112" s="6">
        <v>44901</v>
      </c>
      <c r="F112" s="6"/>
      <c r="G112" s="7" t="s">
        <v>11</v>
      </c>
      <c r="H112" s="4" t="s">
        <v>17</v>
      </c>
      <c r="I112" s="4" t="s">
        <v>13</v>
      </c>
      <c r="J112" s="8">
        <v>44332</v>
      </c>
      <c r="K112" s="8" t="s">
        <v>70</v>
      </c>
      <c r="L112" s="5" t="s">
        <v>23</v>
      </c>
      <c r="M112" s="5" t="s">
        <v>30</v>
      </c>
      <c r="N112" s="5">
        <v>16</v>
      </c>
      <c r="O112" s="9">
        <f>YEAR(Table2[[#This Row],[Date of Joining]])</f>
        <v>2022</v>
      </c>
      <c r="P112" s="9" t="str">
        <f t="shared" ca="1" si="1"/>
        <v>3+ years</v>
      </c>
    </row>
    <row r="113" spans="1:16" x14ac:dyDescent="0.3">
      <c r="A113" s="3" t="s">
        <v>1</v>
      </c>
      <c r="B113" s="3" t="s">
        <v>158</v>
      </c>
      <c r="C113" s="4">
        <v>115441</v>
      </c>
      <c r="D113" s="5" t="s">
        <v>197</v>
      </c>
      <c r="E113" s="6">
        <v>44958</v>
      </c>
      <c r="F113" s="6"/>
      <c r="G113" s="7" t="s">
        <v>11</v>
      </c>
      <c r="H113" s="4" t="s">
        <v>17</v>
      </c>
      <c r="I113" s="4" t="s">
        <v>13</v>
      </c>
      <c r="J113" s="8">
        <v>44377</v>
      </c>
      <c r="K113" s="8" t="s">
        <v>67</v>
      </c>
      <c r="L113" s="5" t="s">
        <v>19</v>
      </c>
      <c r="M113" s="5" t="s">
        <v>15</v>
      </c>
      <c r="N113" s="5">
        <v>1.5</v>
      </c>
      <c r="O113" s="9">
        <f>YEAR(Table2[[#This Row],[Date of Joining]])</f>
        <v>2023</v>
      </c>
      <c r="P113" s="9" t="str">
        <f t="shared" ca="1" si="1"/>
        <v>3+ years</v>
      </c>
    </row>
    <row r="114" spans="1:16" x14ac:dyDescent="0.3">
      <c r="A114" s="3" t="s">
        <v>1</v>
      </c>
      <c r="B114" s="3" t="s">
        <v>158</v>
      </c>
      <c r="C114" s="4">
        <v>169669</v>
      </c>
      <c r="D114" s="5" t="s">
        <v>198</v>
      </c>
      <c r="E114" s="6">
        <v>45027</v>
      </c>
      <c r="F114" s="6"/>
      <c r="G114" s="7" t="s">
        <v>11</v>
      </c>
      <c r="H114" s="4" t="s">
        <v>17</v>
      </c>
      <c r="I114" s="4" t="s">
        <v>8</v>
      </c>
      <c r="J114" s="8">
        <v>44639</v>
      </c>
      <c r="K114" s="8" t="s">
        <v>70</v>
      </c>
      <c r="L114" s="5" t="s">
        <v>23</v>
      </c>
      <c r="M114" s="5" t="s">
        <v>24</v>
      </c>
      <c r="N114" s="5">
        <v>6</v>
      </c>
      <c r="O114" s="9">
        <f>YEAR(Table2[[#This Row],[Date of Joining]])</f>
        <v>2023</v>
      </c>
      <c r="P114" s="9" t="str">
        <f t="shared" ca="1" si="1"/>
        <v>2+ years</v>
      </c>
    </row>
    <row r="115" spans="1:16" x14ac:dyDescent="0.3">
      <c r="A115" s="3" t="s">
        <v>1</v>
      </c>
      <c r="B115" s="3"/>
      <c r="C115" s="4">
        <v>100957</v>
      </c>
      <c r="D115" s="5" t="s">
        <v>199</v>
      </c>
      <c r="E115" s="6">
        <v>45036</v>
      </c>
      <c r="F115" s="6"/>
      <c r="G115" s="7" t="s">
        <v>11</v>
      </c>
      <c r="H115" s="4" t="s">
        <v>17</v>
      </c>
      <c r="I115" s="4" t="s">
        <v>8</v>
      </c>
      <c r="J115" s="8">
        <v>44632</v>
      </c>
      <c r="K115" s="8" t="s">
        <v>70</v>
      </c>
      <c r="L115" s="5" t="s">
        <v>23</v>
      </c>
      <c r="M115" s="5" t="s">
        <v>30</v>
      </c>
      <c r="N115" s="5">
        <v>8</v>
      </c>
      <c r="O115" s="9">
        <f>YEAR(Table2[[#This Row],[Date of Joining]])</f>
        <v>2023</v>
      </c>
      <c r="P115" s="9" t="str">
        <f t="shared" ca="1" si="1"/>
        <v>2+ years</v>
      </c>
    </row>
    <row r="116" spans="1:16" x14ac:dyDescent="0.3">
      <c r="A116" s="3" t="s">
        <v>6</v>
      </c>
      <c r="B116" s="3"/>
      <c r="C116" s="4">
        <v>193737</v>
      </c>
      <c r="D116" s="5" t="s">
        <v>200</v>
      </c>
      <c r="E116" s="6">
        <v>45057</v>
      </c>
      <c r="F116" s="6"/>
      <c r="G116" s="7" t="s">
        <v>11</v>
      </c>
      <c r="H116" s="4" t="s">
        <v>17</v>
      </c>
      <c r="I116" s="4" t="s">
        <v>13</v>
      </c>
      <c r="J116" s="8">
        <v>44847</v>
      </c>
      <c r="K116" s="8" t="s">
        <v>70</v>
      </c>
      <c r="L116" s="5" t="s">
        <v>23</v>
      </c>
      <c r="M116" s="5" t="s">
        <v>30</v>
      </c>
      <c r="N116" s="5">
        <v>11.5</v>
      </c>
      <c r="O116" s="9">
        <f>YEAR(Table2[[#This Row],[Date of Joining]])</f>
        <v>2023</v>
      </c>
      <c r="P116" s="9" t="str">
        <f t="shared" ca="1" si="1"/>
        <v>2+ years</v>
      </c>
    </row>
    <row r="117" spans="1:16" x14ac:dyDescent="0.3">
      <c r="A117" s="3" t="s">
        <v>1</v>
      </c>
      <c r="B117" s="3"/>
      <c r="C117" s="4">
        <v>180698</v>
      </c>
      <c r="D117" s="5" t="s">
        <v>201</v>
      </c>
      <c r="E117" s="6">
        <v>45064</v>
      </c>
      <c r="F117" s="6"/>
      <c r="G117" s="7" t="s">
        <v>11</v>
      </c>
      <c r="H117" s="4" t="s">
        <v>17</v>
      </c>
      <c r="I117" s="4" t="s">
        <v>13</v>
      </c>
      <c r="J117" s="8">
        <v>44629</v>
      </c>
      <c r="K117" s="8" t="s">
        <v>67</v>
      </c>
      <c r="L117" s="5" t="s">
        <v>23</v>
      </c>
      <c r="M117" s="5" t="s">
        <v>30</v>
      </c>
      <c r="N117" s="5">
        <v>3.5</v>
      </c>
      <c r="O117" s="9">
        <f>YEAR(Table2[[#This Row],[Date of Joining]])</f>
        <v>2023</v>
      </c>
      <c r="P117" s="9" t="str">
        <f t="shared" ca="1" si="1"/>
        <v>2+ years</v>
      </c>
    </row>
    <row r="118" spans="1:16" x14ac:dyDescent="0.3">
      <c r="A118" s="3" t="s">
        <v>5</v>
      </c>
      <c r="B118" s="3"/>
      <c r="C118" s="4">
        <v>124433</v>
      </c>
      <c r="D118" s="5" t="s">
        <v>202</v>
      </c>
      <c r="E118" s="6">
        <v>45078</v>
      </c>
      <c r="F118" s="6">
        <v>45118</v>
      </c>
      <c r="G118" s="7" t="s">
        <v>16</v>
      </c>
      <c r="H118" s="4" t="s">
        <v>17</v>
      </c>
      <c r="I118" s="4" t="s">
        <v>8</v>
      </c>
      <c r="J118" s="8">
        <v>44867</v>
      </c>
      <c r="K118" s="8" t="s">
        <v>67</v>
      </c>
      <c r="L118" s="5" t="s">
        <v>19</v>
      </c>
      <c r="M118" s="5" t="s">
        <v>20</v>
      </c>
      <c r="N118" s="5">
        <v>0</v>
      </c>
      <c r="O118" s="9">
        <f>YEAR(Table2[[#This Row],[Date of Joining]])</f>
        <v>2023</v>
      </c>
      <c r="P118" s="9" t="str">
        <f t="shared" ca="1" si="1"/>
        <v>2+ years</v>
      </c>
    </row>
    <row r="119" spans="1:16" x14ac:dyDescent="0.3">
      <c r="A119" s="3" t="s">
        <v>1</v>
      </c>
      <c r="B119" s="3" t="s">
        <v>158</v>
      </c>
      <c r="C119" s="4">
        <v>151636</v>
      </c>
      <c r="D119" s="5" t="s">
        <v>203</v>
      </c>
      <c r="E119" s="6">
        <v>45083</v>
      </c>
      <c r="F119" s="6"/>
      <c r="G119" s="7" t="s">
        <v>11</v>
      </c>
      <c r="H119" s="4" t="s">
        <v>17</v>
      </c>
      <c r="I119" s="4" t="s">
        <v>13</v>
      </c>
      <c r="J119" s="8">
        <v>44255</v>
      </c>
      <c r="K119" s="8" t="s">
        <v>67</v>
      </c>
      <c r="L119" s="5" t="s">
        <v>19</v>
      </c>
      <c r="M119" s="5" t="s">
        <v>20</v>
      </c>
      <c r="N119" s="5">
        <v>1.8</v>
      </c>
      <c r="O119" s="9">
        <f>YEAR(Table2[[#This Row],[Date of Joining]])</f>
        <v>2023</v>
      </c>
      <c r="P119" s="9" t="str">
        <f t="shared" ca="1" si="1"/>
        <v>2+ years</v>
      </c>
    </row>
    <row r="120" spans="1:16" x14ac:dyDescent="0.3">
      <c r="A120" s="3" t="s">
        <v>1</v>
      </c>
      <c r="B120" s="3" t="s">
        <v>158</v>
      </c>
      <c r="C120" s="4">
        <v>173529</v>
      </c>
      <c r="D120" s="5" t="s">
        <v>204</v>
      </c>
      <c r="E120" s="6">
        <v>45083</v>
      </c>
      <c r="F120" s="6"/>
      <c r="G120" s="7" t="s">
        <v>11</v>
      </c>
      <c r="H120" s="4" t="s">
        <v>17</v>
      </c>
      <c r="I120" s="4" t="s">
        <v>8</v>
      </c>
      <c r="J120" s="8">
        <v>44204</v>
      </c>
      <c r="K120" s="8" t="s">
        <v>67</v>
      </c>
      <c r="L120" s="5" t="s">
        <v>19</v>
      </c>
      <c r="M120" s="5" t="s">
        <v>20</v>
      </c>
      <c r="N120" s="5">
        <v>1.5</v>
      </c>
      <c r="O120" s="9">
        <f>YEAR(Table2[[#This Row],[Date of Joining]])</f>
        <v>2023</v>
      </c>
      <c r="P120" s="9" t="str">
        <f t="shared" ca="1" si="1"/>
        <v>2+ years</v>
      </c>
    </row>
    <row r="121" spans="1:16" x14ac:dyDescent="0.3">
      <c r="A121" s="3" t="s">
        <v>1</v>
      </c>
      <c r="B121" s="3" t="s">
        <v>158</v>
      </c>
      <c r="C121" s="4">
        <v>116633</v>
      </c>
      <c r="D121" s="5" t="s">
        <v>205</v>
      </c>
      <c r="E121" s="6">
        <v>45083</v>
      </c>
      <c r="F121" s="6"/>
      <c r="G121" s="7" t="s">
        <v>11</v>
      </c>
      <c r="H121" s="4" t="s">
        <v>17</v>
      </c>
      <c r="I121" s="4" t="s">
        <v>8</v>
      </c>
      <c r="J121" s="8">
        <v>44218</v>
      </c>
      <c r="K121" s="8" t="s">
        <v>67</v>
      </c>
      <c r="L121" s="5" t="s">
        <v>19</v>
      </c>
      <c r="M121" s="5" t="s">
        <v>20</v>
      </c>
      <c r="N121" s="5">
        <v>0.11</v>
      </c>
      <c r="O121" s="9">
        <f>YEAR(Table2[[#This Row],[Date of Joining]])</f>
        <v>2023</v>
      </c>
      <c r="P121" s="9" t="str">
        <f t="shared" ca="1" si="1"/>
        <v>2+ years</v>
      </c>
    </row>
    <row r="122" spans="1:16" x14ac:dyDescent="0.3">
      <c r="A122" s="3" t="s">
        <v>1</v>
      </c>
      <c r="B122" s="3" t="s">
        <v>158</v>
      </c>
      <c r="C122" s="4">
        <v>160990</v>
      </c>
      <c r="D122" s="5" t="s">
        <v>206</v>
      </c>
      <c r="E122" s="6">
        <v>45083</v>
      </c>
      <c r="F122" s="6"/>
      <c r="G122" s="7" t="s">
        <v>11</v>
      </c>
      <c r="H122" s="4" t="s">
        <v>17</v>
      </c>
      <c r="I122" s="4" t="s">
        <v>13</v>
      </c>
      <c r="J122" s="8">
        <v>44804</v>
      </c>
      <c r="K122" s="8" t="s">
        <v>67</v>
      </c>
      <c r="L122" s="5" t="s">
        <v>19</v>
      </c>
      <c r="M122" s="5" t="s">
        <v>20</v>
      </c>
      <c r="N122" s="5">
        <v>0</v>
      </c>
      <c r="O122" s="9">
        <f>YEAR(Table2[[#This Row],[Date of Joining]])</f>
        <v>2023</v>
      </c>
      <c r="P122" s="9" t="str">
        <f t="shared" ca="1" si="1"/>
        <v>2+ years</v>
      </c>
    </row>
    <row r="123" spans="1:16" x14ac:dyDescent="0.3">
      <c r="A123" s="3" t="s">
        <v>5</v>
      </c>
      <c r="B123" s="3"/>
      <c r="C123" s="4">
        <v>170513</v>
      </c>
      <c r="D123" s="5" t="s">
        <v>207</v>
      </c>
      <c r="E123" s="6">
        <v>45085</v>
      </c>
      <c r="F123" s="6">
        <v>45382</v>
      </c>
      <c r="G123" s="7" t="s">
        <v>11</v>
      </c>
      <c r="H123" s="4" t="s">
        <v>17</v>
      </c>
      <c r="I123" s="4" t="s">
        <v>8</v>
      </c>
      <c r="J123" s="8">
        <v>44712</v>
      </c>
      <c r="K123" s="8" t="s">
        <v>67</v>
      </c>
      <c r="L123" s="5" t="s">
        <v>23</v>
      </c>
      <c r="M123" s="5" t="s">
        <v>30</v>
      </c>
      <c r="N123" s="5">
        <v>7</v>
      </c>
      <c r="O123" s="9">
        <f>YEAR(Table2[[#This Row],[Date of Joining]])</f>
        <v>2023</v>
      </c>
      <c r="P123" s="9" t="str">
        <f t="shared" ca="1" si="1"/>
        <v>2+ years</v>
      </c>
    </row>
    <row r="124" spans="1:16" x14ac:dyDescent="0.3">
      <c r="A124" s="3" t="s">
        <v>1</v>
      </c>
      <c r="B124" s="3"/>
      <c r="C124" s="4">
        <v>167822</v>
      </c>
      <c r="D124" s="5" t="s">
        <v>208</v>
      </c>
      <c r="E124" s="6">
        <v>45106</v>
      </c>
      <c r="F124" s="6"/>
      <c r="G124" s="7" t="s">
        <v>11</v>
      </c>
      <c r="H124" s="4" t="s">
        <v>17</v>
      </c>
      <c r="I124" s="4" t="s">
        <v>13</v>
      </c>
      <c r="J124" s="8">
        <v>44773</v>
      </c>
      <c r="K124" s="8" t="s">
        <v>70</v>
      </c>
      <c r="L124" s="5" t="s">
        <v>19</v>
      </c>
      <c r="M124" s="5" t="s">
        <v>20</v>
      </c>
      <c r="N124" s="5">
        <v>7</v>
      </c>
      <c r="O124" s="9">
        <f>YEAR(Table2[[#This Row],[Date of Joining]])</f>
        <v>2023</v>
      </c>
      <c r="P124" s="9" t="str">
        <f t="shared" ca="1" si="1"/>
        <v>2+ years</v>
      </c>
    </row>
    <row r="125" spans="1:16" x14ac:dyDescent="0.3">
      <c r="A125" s="3" t="s">
        <v>1</v>
      </c>
      <c r="B125" s="3"/>
      <c r="C125" s="4">
        <v>161037</v>
      </c>
      <c r="D125" s="5" t="s">
        <v>209</v>
      </c>
      <c r="E125" s="6">
        <v>45111</v>
      </c>
      <c r="F125" s="6"/>
      <c r="G125" s="7" t="s">
        <v>11</v>
      </c>
      <c r="H125" s="4" t="s">
        <v>17</v>
      </c>
      <c r="I125" s="4" t="s">
        <v>8</v>
      </c>
      <c r="J125" s="8">
        <v>44629</v>
      </c>
      <c r="K125" s="8" t="s">
        <v>67</v>
      </c>
      <c r="L125" s="5" t="s">
        <v>19</v>
      </c>
      <c r="M125" s="5" t="s">
        <v>30</v>
      </c>
      <c r="N125" s="5">
        <v>5</v>
      </c>
      <c r="O125" s="9">
        <f>YEAR(Table2[[#This Row],[Date of Joining]])</f>
        <v>2023</v>
      </c>
      <c r="P125" s="9" t="str">
        <f t="shared" ca="1" si="1"/>
        <v>2+ years</v>
      </c>
    </row>
    <row r="126" spans="1:16" x14ac:dyDescent="0.3">
      <c r="A126" s="3" t="s">
        <v>1</v>
      </c>
      <c r="B126" s="3"/>
      <c r="C126" s="4">
        <v>153255</v>
      </c>
      <c r="D126" s="5" t="s">
        <v>210</v>
      </c>
      <c r="E126" s="6">
        <v>45120</v>
      </c>
      <c r="F126" s="6"/>
      <c r="G126" s="7" t="s">
        <v>11</v>
      </c>
      <c r="H126" s="4" t="s">
        <v>17</v>
      </c>
      <c r="I126" s="4" t="s">
        <v>8</v>
      </c>
      <c r="J126" s="8">
        <v>44590</v>
      </c>
      <c r="K126" s="8" t="s">
        <v>67</v>
      </c>
      <c r="L126" s="5" t="s">
        <v>19</v>
      </c>
      <c r="M126" s="5" t="s">
        <v>24</v>
      </c>
      <c r="N126" s="5">
        <v>3.8</v>
      </c>
      <c r="O126" s="9">
        <f>YEAR(Table2[[#This Row],[Date of Joining]])</f>
        <v>2023</v>
      </c>
      <c r="P126" s="9" t="str">
        <f t="shared" ca="1" si="1"/>
        <v>2+ years</v>
      </c>
    </row>
    <row r="127" spans="1:16" x14ac:dyDescent="0.3">
      <c r="A127" s="3" t="s">
        <v>1</v>
      </c>
      <c r="B127" s="3"/>
      <c r="C127" s="4">
        <v>123179</v>
      </c>
      <c r="D127" s="5" t="s">
        <v>211</v>
      </c>
      <c r="E127" s="6">
        <v>45125</v>
      </c>
      <c r="F127" s="6"/>
      <c r="G127" s="7" t="s">
        <v>11</v>
      </c>
      <c r="H127" s="4" t="s">
        <v>17</v>
      </c>
      <c r="I127" s="4" t="s">
        <v>8</v>
      </c>
      <c r="J127" s="8">
        <v>44612</v>
      </c>
      <c r="K127" s="8" t="s">
        <v>67</v>
      </c>
      <c r="L127" s="5" t="s">
        <v>23</v>
      </c>
      <c r="M127" s="5" t="s">
        <v>20</v>
      </c>
      <c r="N127" s="5">
        <v>6.5</v>
      </c>
      <c r="O127" s="9">
        <f>YEAR(Table2[[#This Row],[Date of Joining]])</f>
        <v>2023</v>
      </c>
      <c r="P127" s="9" t="str">
        <f t="shared" ca="1" si="1"/>
        <v>2+ years</v>
      </c>
    </row>
    <row r="128" spans="1:16" x14ac:dyDescent="0.3">
      <c r="A128" s="3" t="s">
        <v>1</v>
      </c>
      <c r="B128" s="3"/>
      <c r="C128" s="4">
        <v>189554</v>
      </c>
      <c r="D128" s="5" t="s">
        <v>212</v>
      </c>
      <c r="E128" s="6">
        <v>45134</v>
      </c>
      <c r="F128" s="6"/>
      <c r="G128" s="7" t="s">
        <v>11</v>
      </c>
      <c r="H128" s="4" t="s">
        <v>17</v>
      </c>
      <c r="I128" s="4" t="s">
        <v>8</v>
      </c>
      <c r="J128" s="8">
        <v>44766</v>
      </c>
      <c r="K128" s="8" t="s">
        <v>70</v>
      </c>
      <c r="L128" s="5" t="s">
        <v>23</v>
      </c>
      <c r="M128" s="5" t="s">
        <v>20</v>
      </c>
      <c r="N128" s="5">
        <v>8</v>
      </c>
      <c r="O128" s="9">
        <f>YEAR(Table2[[#This Row],[Date of Joining]])</f>
        <v>2023</v>
      </c>
      <c r="P128" s="9" t="str">
        <f t="shared" ca="1" si="1"/>
        <v>2+ years</v>
      </c>
    </row>
    <row r="129" spans="1:16" x14ac:dyDescent="0.3">
      <c r="A129" s="3" t="s">
        <v>1</v>
      </c>
      <c r="B129" s="3"/>
      <c r="C129" s="4">
        <v>186786</v>
      </c>
      <c r="D129" s="5" t="s">
        <v>213</v>
      </c>
      <c r="E129" s="6">
        <v>45139</v>
      </c>
      <c r="F129" s="6"/>
      <c r="G129" s="7" t="s">
        <v>21</v>
      </c>
      <c r="H129" s="4" t="s">
        <v>17</v>
      </c>
      <c r="I129" s="4" t="s">
        <v>8</v>
      </c>
      <c r="J129" s="8">
        <v>44819</v>
      </c>
      <c r="K129" s="8" t="s">
        <v>67</v>
      </c>
      <c r="L129" s="5" t="s">
        <v>19</v>
      </c>
      <c r="M129" s="5" t="s">
        <v>33</v>
      </c>
      <c r="N129" s="5">
        <v>1.5</v>
      </c>
      <c r="O129" s="9">
        <f>YEAR(Table2[[#This Row],[Date of Joining]])</f>
        <v>2023</v>
      </c>
      <c r="P129" s="9" t="str">
        <f t="shared" ca="1" si="1"/>
        <v>2+ years</v>
      </c>
    </row>
    <row r="130" spans="1:16" x14ac:dyDescent="0.3">
      <c r="A130" s="3" t="s">
        <v>1</v>
      </c>
      <c r="B130" s="3"/>
      <c r="C130" s="4">
        <v>186818</v>
      </c>
      <c r="D130" s="5" t="s">
        <v>214</v>
      </c>
      <c r="E130" s="6">
        <v>45141</v>
      </c>
      <c r="F130" s="6"/>
      <c r="G130" s="7" t="s">
        <v>21</v>
      </c>
      <c r="H130" s="4" t="s">
        <v>17</v>
      </c>
      <c r="I130" s="4" t="s">
        <v>13</v>
      </c>
      <c r="J130" s="8">
        <v>44696</v>
      </c>
      <c r="K130" s="8" t="s">
        <v>67</v>
      </c>
      <c r="L130" s="5" t="s">
        <v>23</v>
      </c>
      <c r="M130" s="5" t="s">
        <v>33</v>
      </c>
      <c r="N130" s="5">
        <v>7</v>
      </c>
      <c r="O130" s="9">
        <f>YEAR(Table2[[#This Row],[Date of Joining]])</f>
        <v>2023</v>
      </c>
      <c r="P130" s="9" t="str">
        <f t="shared" ref="P130:P172" ca="1" si="2">IF(DATEDIF(E130,TODAY(),"Y")&gt;=5,"5+ years",
IF(DATEDIF(E130,TODAY(),"Y")&gt;=4,"4+ years",
IF(DATEDIF(E130,TODAY(),"Y")&gt;=3,"3+ years",
IF(DATEDIF(E130,TODAY(),"Y")&gt;=2,"2+ years",
IF(DATEDIF(E130,TODAY(),"Y")&gt;=1,"1+ years","&lt;1 year")))))</f>
        <v>2+ years</v>
      </c>
    </row>
    <row r="131" spans="1:16" x14ac:dyDescent="0.3">
      <c r="A131" s="3" t="s">
        <v>1</v>
      </c>
      <c r="B131" s="3"/>
      <c r="C131" s="4">
        <v>147963</v>
      </c>
      <c r="D131" s="5" t="s">
        <v>215</v>
      </c>
      <c r="E131" s="6">
        <v>45154</v>
      </c>
      <c r="F131" s="6"/>
      <c r="G131" s="7" t="s">
        <v>11</v>
      </c>
      <c r="H131" s="4" t="s">
        <v>17</v>
      </c>
      <c r="I131" s="4" t="s">
        <v>8</v>
      </c>
      <c r="J131" s="8">
        <v>44620</v>
      </c>
      <c r="K131" s="8" t="s">
        <v>70</v>
      </c>
      <c r="L131" s="5" t="s">
        <v>23</v>
      </c>
      <c r="M131" s="5" t="s">
        <v>30</v>
      </c>
      <c r="N131" s="5">
        <v>15</v>
      </c>
      <c r="O131" s="9">
        <f>YEAR(Table2[[#This Row],[Date of Joining]])</f>
        <v>2023</v>
      </c>
      <c r="P131" s="9" t="str">
        <f t="shared" ca="1" si="2"/>
        <v>2+ years</v>
      </c>
    </row>
    <row r="132" spans="1:16" x14ac:dyDescent="0.3">
      <c r="A132" s="3" t="s">
        <v>1</v>
      </c>
      <c r="B132" s="3"/>
      <c r="C132" s="4">
        <v>150614</v>
      </c>
      <c r="D132" s="5" t="s">
        <v>216</v>
      </c>
      <c r="E132" s="6">
        <v>45181</v>
      </c>
      <c r="F132" s="6"/>
      <c r="G132" s="7" t="s">
        <v>11</v>
      </c>
      <c r="H132" s="4" t="s">
        <v>17</v>
      </c>
      <c r="I132" s="4" t="s">
        <v>13</v>
      </c>
      <c r="J132" s="8">
        <v>44830</v>
      </c>
      <c r="K132" s="8" t="s">
        <v>70</v>
      </c>
      <c r="L132" s="5" t="s">
        <v>23</v>
      </c>
      <c r="M132" s="5" t="s">
        <v>15</v>
      </c>
      <c r="N132" s="5">
        <v>10.7</v>
      </c>
      <c r="O132" s="9">
        <f>YEAR(Table2[[#This Row],[Date of Joining]])</f>
        <v>2023</v>
      </c>
      <c r="P132" s="9" t="str">
        <f t="shared" ca="1" si="2"/>
        <v>2+ years</v>
      </c>
    </row>
    <row r="133" spans="1:16" x14ac:dyDescent="0.3">
      <c r="A133" s="3" t="s">
        <v>1</v>
      </c>
      <c r="B133" s="3"/>
      <c r="C133" s="4">
        <v>137151</v>
      </c>
      <c r="D133" s="5" t="s">
        <v>217</v>
      </c>
      <c r="E133" s="6">
        <v>45195</v>
      </c>
      <c r="F133" s="6"/>
      <c r="G133" s="7" t="s">
        <v>16</v>
      </c>
      <c r="H133" s="4" t="s">
        <v>17</v>
      </c>
      <c r="I133" s="4" t="s">
        <v>8</v>
      </c>
      <c r="J133" s="8">
        <v>44917</v>
      </c>
      <c r="K133" s="8" t="s">
        <v>67</v>
      </c>
      <c r="L133" s="5" t="s">
        <v>19</v>
      </c>
      <c r="M133" s="5" t="s">
        <v>33</v>
      </c>
      <c r="N133" s="5">
        <v>2</v>
      </c>
      <c r="O133" s="9">
        <f>YEAR(Table2[[#This Row],[Date of Joining]])</f>
        <v>2023</v>
      </c>
      <c r="P133" s="9" t="str">
        <f t="shared" ca="1" si="2"/>
        <v>2+ years</v>
      </c>
    </row>
    <row r="134" spans="1:16" x14ac:dyDescent="0.3">
      <c r="A134" s="3" t="s">
        <v>1</v>
      </c>
      <c r="B134" s="3" t="s">
        <v>158</v>
      </c>
      <c r="C134" s="4">
        <v>173998</v>
      </c>
      <c r="D134" s="5" t="s">
        <v>218</v>
      </c>
      <c r="E134" s="6">
        <v>45227</v>
      </c>
      <c r="F134" s="6"/>
      <c r="G134" s="7" t="s">
        <v>11</v>
      </c>
      <c r="H134" s="4" t="s">
        <v>17</v>
      </c>
      <c r="I134" s="4" t="s">
        <v>13</v>
      </c>
      <c r="J134" s="8">
        <v>44271</v>
      </c>
      <c r="K134" s="8" t="s">
        <v>67</v>
      </c>
      <c r="L134" s="5" t="s">
        <v>23</v>
      </c>
      <c r="M134" s="5" t="s">
        <v>10</v>
      </c>
      <c r="N134" s="5">
        <v>5.3</v>
      </c>
      <c r="O134" s="9">
        <f>YEAR(Table2[[#This Row],[Date of Joining]])</f>
        <v>2023</v>
      </c>
      <c r="P134" s="9" t="str">
        <f t="shared" ca="1" si="2"/>
        <v>2+ years</v>
      </c>
    </row>
    <row r="135" spans="1:16" x14ac:dyDescent="0.3">
      <c r="A135" s="3" t="s">
        <v>1</v>
      </c>
      <c r="B135" s="3" t="s">
        <v>158</v>
      </c>
      <c r="C135" s="4">
        <v>103925</v>
      </c>
      <c r="D135" s="5" t="s">
        <v>219</v>
      </c>
      <c r="E135" s="6">
        <v>45260</v>
      </c>
      <c r="F135" s="6"/>
      <c r="G135" s="7" t="s">
        <v>11</v>
      </c>
      <c r="H135" s="4" t="s">
        <v>17</v>
      </c>
      <c r="I135" s="4" t="s">
        <v>13</v>
      </c>
      <c r="J135" s="8">
        <v>44328</v>
      </c>
      <c r="K135" s="8" t="s">
        <v>70</v>
      </c>
      <c r="L135" s="5" t="s">
        <v>19</v>
      </c>
      <c r="M135" s="5" t="s">
        <v>27</v>
      </c>
      <c r="N135" s="5">
        <v>4.5</v>
      </c>
      <c r="O135" s="9">
        <f>YEAR(Table2[[#This Row],[Date of Joining]])</f>
        <v>2023</v>
      </c>
      <c r="P135" s="9" t="str">
        <f t="shared" ca="1" si="2"/>
        <v>2+ years</v>
      </c>
    </row>
    <row r="136" spans="1:16" x14ac:dyDescent="0.3">
      <c r="A136" s="3" t="s">
        <v>1</v>
      </c>
      <c r="B136" s="3"/>
      <c r="C136" s="4">
        <v>118694</v>
      </c>
      <c r="D136" s="5" t="s">
        <v>220</v>
      </c>
      <c r="E136" s="6">
        <v>45265</v>
      </c>
      <c r="F136" s="6"/>
      <c r="G136" s="7" t="s">
        <v>11</v>
      </c>
      <c r="H136" s="4" t="s">
        <v>17</v>
      </c>
      <c r="I136" s="4" t="s">
        <v>13</v>
      </c>
      <c r="J136" s="8">
        <v>44581</v>
      </c>
      <c r="K136" s="8" t="s">
        <v>67</v>
      </c>
      <c r="L136" s="5" t="s">
        <v>19</v>
      </c>
      <c r="M136" s="5" t="s">
        <v>27</v>
      </c>
      <c r="N136" s="5">
        <v>3.5</v>
      </c>
      <c r="O136" s="9">
        <f>YEAR(Table2[[#This Row],[Date of Joining]])</f>
        <v>2023</v>
      </c>
      <c r="P136" s="9" t="str">
        <f t="shared" ca="1" si="2"/>
        <v>2+ years</v>
      </c>
    </row>
    <row r="137" spans="1:16" x14ac:dyDescent="0.3">
      <c r="A137" s="3" t="s">
        <v>1</v>
      </c>
      <c r="B137" s="3"/>
      <c r="C137" s="4">
        <v>195849</v>
      </c>
      <c r="D137" s="5" t="s">
        <v>221</v>
      </c>
      <c r="E137" s="6">
        <v>45265</v>
      </c>
      <c r="F137" s="6"/>
      <c r="G137" s="7" t="s">
        <v>11</v>
      </c>
      <c r="H137" s="4" t="s">
        <v>17</v>
      </c>
      <c r="I137" s="4" t="s">
        <v>8</v>
      </c>
      <c r="J137" s="8">
        <v>44786</v>
      </c>
      <c r="K137" s="8" t="s">
        <v>67</v>
      </c>
      <c r="L137" s="5" t="s">
        <v>19</v>
      </c>
      <c r="M137" s="5" t="s">
        <v>27</v>
      </c>
      <c r="N137" s="5">
        <v>1.5</v>
      </c>
      <c r="O137" s="9">
        <f>YEAR(Table2[[#This Row],[Date of Joining]])</f>
        <v>2023</v>
      </c>
      <c r="P137" s="9" t="str">
        <f t="shared" ca="1" si="2"/>
        <v>2+ years</v>
      </c>
    </row>
    <row r="138" spans="1:16" x14ac:dyDescent="0.3">
      <c r="A138" s="3" t="s">
        <v>1</v>
      </c>
      <c r="B138" s="3"/>
      <c r="C138" s="4">
        <v>182665</v>
      </c>
      <c r="D138" s="5" t="s">
        <v>222</v>
      </c>
      <c r="E138" s="6">
        <v>45267</v>
      </c>
      <c r="F138" s="6"/>
      <c r="G138" s="7" t="s">
        <v>11</v>
      </c>
      <c r="H138" s="4" t="s">
        <v>17</v>
      </c>
      <c r="I138" s="4" t="s">
        <v>8</v>
      </c>
      <c r="J138" s="8">
        <v>44622</v>
      </c>
      <c r="K138" s="8" t="s">
        <v>70</v>
      </c>
      <c r="L138" s="5" t="s">
        <v>23</v>
      </c>
      <c r="M138" s="5" t="s">
        <v>24</v>
      </c>
      <c r="N138" s="5">
        <v>10.9</v>
      </c>
      <c r="O138" s="9">
        <f>YEAR(Table2[[#This Row],[Date of Joining]])</f>
        <v>2023</v>
      </c>
      <c r="P138" s="9" t="str">
        <f t="shared" ca="1" si="2"/>
        <v>2+ years</v>
      </c>
    </row>
    <row r="139" spans="1:16" x14ac:dyDescent="0.3">
      <c r="A139" s="3" t="s">
        <v>1</v>
      </c>
      <c r="B139" s="3"/>
      <c r="C139" s="4">
        <v>151067</v>
      </c>
      <c r="D139" s="5" t="s">
        <v>34</v>
      </c>
      <c r="E139" s="6">
        <v>45272</v>
      </c>
      <c r="F139" s="6"/>
      <c r="G139" s="5" t="s">
        <v>28</v>
      </c>
      <c r="H139" s="4" t="s">
        <v>17</v>
      </c>
      <c r="I139" s="4" t="s">
        <v>8</v>
      </c>
      <c r="J139" s="8">
        <v>44764</v>
      </c>
      <c r="K139" s="8" t="s">
        <v>70</v>
      </c>
      <c r="L139" s="5" t="s">
        <v>19</v>
      </c>
      <c r="M139" s="5" t="s">
        <v>20</v>
      </c>
      <c r="N139" s="5">
        <v>2.8</v>
      </c>
      <c r="O139" s="9">
        <f>YEAR(Table2[[#This Row],[Date of Joining]])</f>
        <v>2023</v>
      </c>
      <c r="P139" s="9" t="str">
        <f t="shared" ca="1" si="2"/>
        <v>2+ years</v>
      </c>
    </row>
    <row r="140" spans="1:16" x14ac:dyDescent="0.3">
      <c r="A140" s="3" t="s">
        <v>1</v>
      </c>
      <c r="B140" s="3" t="s">
        <v>158</v>
      </c>
      <c r="C140" s="4">
        <v>188212</v>
      </c>
      <c r="D140" s="5" t="s">
        <v>223</v>
      </c>
      <c r="E140" s="6">
        <v>45274</v>
      </c>
      <c r="F140" s="6"/>
      <c r="G140" s="7" t="s">
        <v>11</v>
      </c>
      <c r="H140" s="4" t="s">
        <v>17</v>
      </c>
      <c r="I140" s="4" t="s">
        <v>13</v>
      </c>
      <c r="J140" s="8">
        <v>44542</v>
      </c>
      <c r="K140" s="8" t="s">
        <v>70</v>
      </c>
      <c r="L140" s="5" t="s">
        <v>23</v>
      </c>
      <c r="M140" s="5" t="s">
        <v>24</v>
      </c>
      <c r="N140" s="5">
        <v>7.5</v>
      </c>
      <c r="O140" s="9">
        <f>YEAR(Table2[[#This Row],[Date of Joining]])</f>
        <v>2023</v>
      </c>
      <c r="P140" s="9" t="str">
        <f t="shared" ca="1" si="2"/>
        <v>2+ years</v>
      </c>
    </row>
    <row r="141" spans="1:16" x14ac:dyDescent="0.3">
      <c r="A141" s="3" t="s">
        <v>1</v>
      </c>
      <c r="B141" s="3" t="s">
        <v>158</v>
      </c>
      <c r="C141" s="4">
        <v>188527</v>
      </c>
      <c r="D141" s="5" t="s">
        <v>224</v>
      </c>
      <c r="E141" s="6">
        <v>45274</v>
      </c>
      <c r="F141" s="6"/>
      <c r="G141" s="7" t="s">
        <v>11</v>
      </c>
      <c r="H141" s="4" t="s">
        <v>17</v>
      </c>
      <c r="I141" s="4" t="s">
        <v>8</v>
      </c>
      <c r="J141" s="8">
        <v>44701</v>
      </c>
      <c r="K141" s="8" t="s">
        <v>67</v>
      </c>
      <c r="L141" s="5" t="s">
        <v>19</v>
      </c>
      <c r="M141" s="5" t="s">
        <v>27</v>
      </c>
      <c r="N141" s="5">
        <v>10</v>
      </c>
      <c r="O141" s="9">
        <f>YEAR(Table2[[#This Row],[Date of Joining]])</f>
        <v>2023</v>
      </c>
      <c r="P141" s="9" t="str">
        <f t="shared" ca="1" si="2"/>
        <v>2+ years</v>
      </c>
    </row>
    <row r="142" spans="1:16" x14ac:dyDescent="0.3">
      <c r="A142" s="3" t="s">
        <v>1</v>
      </c>
      <c r="B142" s="3"/>
      <c r="C142" s="4">
        <v>151539</v>
      </c>
      <c r="D142" s="5" t="s">
        <v>225</v>
      </c>
      <c r="E142" s="6">
        <v>45279</v>
      </c>
      <c r="F142" s="6"/>
      <c r="G142" s="7" t="s">
        <v>11</v>
      </c>
      <c r="H142" s="4" t="s">
        <v>17</v>
      </c>
      <c r="I142" s="4" t="s">
        <v>8</v>
      </c>
      <c r="J142" s="8">
        <v>44613</v>
      </c>
      <c r="K142" s="8" t="s">
        <v>67</v>
      </c>
      <c r="L142" s="5" t="s">
        <v>19</v>
      </c>
      <c r="M142" s="5" t="s">
        <v>27</v>
      </c>
      <c r="N142" s="5">
        <v>0</v>
      </c>
      <c r="O142" s="9">
        <f>YEAR(Table2[[#This Row],[Date of Joining]])</f>
        <v>2023</v>
      </c>
      <c r="P142" s="9" t="str">
        <f t="shared" ca="1" si="2"/>
        <v>2+ years</v>
      </c>
    </row>
    <row r="143" spans="1:16" x14ac:dyDescent="0.3">
      <c r="A143" s="3" t="s">
        <v>1</v>
      </c>
      <c r="B143" s="3"/>
      <c r="C143" s="4">
        <v>148895</v>
      </c>
      <c r="D143" s="5" t="s">
        <v>226</v>
      </c>
      <c r="E143" s="6">
        <v>45288</v>
      </c>
      <c r="F143" s="6"/>
      <c r="G143" s="5" t="s">
        <v>28</v>
      </c>
      <c r="H143" s="4" t="s">
        <v>17</v>
      </c>
      <c r="I143" s="4" t="s">
        <v>8</v>
      </c>
      <c r="J143" s="8">
        <v>44668</v>
      </c>
      <c r="K143" s="8" t="s">
        <v>67</v>
      </c>
      <c r="L143" s="5" t="s">
        <v>19</v>
      </c>
      <c r="M143" s="5" t="s">
        <v>20</v>
      </c>
      <c r="N143" s="5">
        <v>0</v>
      </c>
      <c r="O143" s="9">
        <f>YEAR(Table2[[#This Row],[Date of Joining]])</f>
        <v>2023</v>
      </c>
      <c r="P143" s="9" t="str">
        <f t="shared" ca="1" si="2"/>
        <v>2+ years</v>
      </c>
    </row>
    <row r="144" spans="1:16" x14ac:dyDescent="0.3">
      <c r="A144" s="3" t="s">
        <v>1</v>
      </c>
      <c r="B144" s="3" t="s">
        <v>158</v>
      </c>
      <c r="C144" s="4">
        <v>114477</v>
      </c>
      <c r="D144" s="5" t="s">
        <v>227</v>
      </c>
      <c r="E144" s="6">
        <v>45295</v>
      </c>
      <c r="F144" s="6"/>
      <c r="G144" s="7" t="s">
        <v>11</v>
      </c>
      <c r="H144" s="4" t="s">
        <v>17</v>
      </c>
      <c r="I144" s="4" t="s">
        <v>13</v>
      </c>
      <c r="J144" s="8">
        <v>44386</v>
      </c>
      <c r="K144" s="8" t="s">
        <v>67</v>
      </c>
      <c r="L144" s="5" t="s">
        <v>19</v>
      </c>
      <c r="M144" s="5" t="s">
        <v>27</v>
      </c>
      <c r="N144" s="5">
        <v>1.6</v>
      </c>
      <c r="O144" s="9">
        <f>YEAR(Table2[[#This Row],[Date of Joining]])</f>
        <v>2024</v>
      </c>
      <c r="P144" s="9" t="str">
        <f t="shared" ca="1" si="2"/>
        <v>2+ years</v>
      </c>
    </row>
    <row r="145" spans="1:16" x14ac:dyDescent="0.3">
      <c r="A145" s="3" t="s">
        <v>1</v>
      </c>
      <c r="B145" s="3"/>
      <c r="C145" s="4">
        <v>170085</v>
      </c>
      <c r="D145" s="5" t="s">
        <v>228</v>
      </c>
      <c r="E145" s="6">
        <v>45302</v>
      </c>
      <c r="F145" s="6"/>
      <c r="G145" s="7" t="s">
        <v>11</v>
      </c>
      <c r="H145" s="4" t="s">
        <v>17</v>
      </c>
      <c r="I145" s="4" t="s">
        <v>13</v>
      </c>
      <c r="J145" s="8">
        <v>45144</v>
      </c>
      <c r="K145" s="8" t="s">
        <v>67</v>
      </c>
      <c r="L145" s="5" t="s">
        <v>19</v>
      </c>
      <c r="M145" s="5" t="s">
        <v>27</v>
      </c>
      <c r="N145" s="5">
        <v>3.5</v>
      </c>
      <c r="O145" s="9">
        <f>YEAR(Table2[[#This Row],[Date of Joining]])</f>
        <v>2024</v>
      </c>
      <c r="P145" s="9" t="str">
        <f t="shared" ca="1" si="2"/>
        <v>2+ years</v>
      </c>
    </row>
    <row r="146" spans="1:16" x14ac:dyDescent="0.3">
      <c r="A146" s="3" t="s">
        <v>1</v>
      </c>
      <c r="B146" s="3"/>
      <c r="C146" s="4">
        <v>148355</v>
      </c>
      <c r="D146" s="5" t="s">
        <v>229</v>
      </c>
      <c r="E146" s="6">
        <v>45302</v>
      </c>
      <c r="F146" s="6"/>
      <c r="G146" s="7" t="s">
        <v>21</v>
      </c>
      <c r="H146" s="4" t="s">
        <v>17</v>
      </c>
      <c r="I146" s="4" t="s">
        <v>13</v>
      </c>
      <c r="J146" s="8">
        <v>44433</v>
      </c>
      <c r="K146" s="8" t="s">
        <v>67</v>
      </c>
      <c r="L146" s="5" t="s">
        <v>19</v>
      </c>
      <c r="M146" s="5" t="s">
        <v>20</v>
      </c>
      <c r="N146" s="5">
        <v>14</v>
      </c>
      <c r="O146" s="9">
        <f>YEAR(Table2[[#This Row],[Date of Joining]])</f>
        <v>2024</v>
      </c>
      <c r="P146" s="9" t="str">
        <f t="shared" ca="1" si="2"/>
        <v>2+ years</v>
      </c>
    </row>
    <row r="147" spans="1:16" x14ac:dyDescent="0.3">
      <c r="A147" s="3" t="s">
        <v>1</v>
      </c>
      <c r="B147" s="3"/>
      <c r="C147" s="4">
        <v>132724</v>
      </c>
      <c r="D147" s="5" t="s">
        <v>230</v>
      </c>
      <c r="E147" s="6">
        <v>45314</v>
      </c>
      <c r="F147" s="6"/>
      <c r="G147" s="5" t="s">
        <v>34</v>
      </c>
      <c r="H147" s="4" t="s">
        <v>17</v>
      </c>
      <c r="I147" s="4" t="s">
        <v>13</v>
      </c>
      <c r="J147" s="8">
        <v>45021</v>
      </c>
      <c r="K147" s="8" t="s">
        <v>67</v>
      </c>
      <c r="L147" s="5" t="s">
        <v>19</v>
      </c>
      <c r="M147" s="5" t="s">
        <v>27</v>
      </c>
      <c r="N147" s="5">
        <v>0.6</v>
      </c>
      <c r="O147" s="9">
        <f>YEAR(Table2[[#This Row],[Date of Joining]])</f>
        <v>2024</v>
      </c>
      <c r="P147" s="9" t="str">
        <f t="shared" ca="1" si="2"/>
        <v>2+ years</v>
      </c>
    </row>
    <row r="148" spans="1:16" x14ac:dyDescent="0.3">
      <c r="A148" s="3" t="s">
        <v>1</v>
      </c>
      <c r="B148" s="3"/>
      <c r="C148" s="4">
        <v>136024</v>
      </c>
      <c r="D148" s="5" t="s">
        <v>231</v>
      </c>
      <c r="E148" s="6">
        <v>45314</v>
      </c>
      <c r="F148" s="6"/>
      <c r="G148" s="7" t="s">
        <v>16</v>
      </c>
      <c r="H148" s="4" t="s">
        <v>17</v>
      </c>
      <c r="I148" s="4" t="s">
        <v>13</v>
      </c>
      <c r="J148" s="8">
        <v>44524</v>
      </c>
      <c r="K148" s="8" t="s">
        <v>67</v>
      </c>
      <c r="L148" s="5" t="s">
        <v>14</v>
      </c>
      <c r="M148" s="5" t="s">
        <v>20</v>
      </c>
      <c r="N148" s="5">
        <v>14</v>
      </c>
      <c r="O148" s="9">
        <f>YEAR(Table2[[#This Row],[Date of Joining]])</f>
        <v>2024</v>
      </c>
      <c r="P148" s="9" t="str">
        <f t="shared" ca="1" si="2"/>
        <v>2+ years</v>
      </c>
    </row>
    <row r="149" spans="1:16" x14ac:dyDescent="0.3">
      <c r="A149" s="3" t="s">
        <v>1</v>
      </c>
      <c r="B149" s="3" t="s">
        <v>158</v>
      </c>
      <c r="C149" s="4">
        <v>186654</v>
      </c>
      <c r="D149" s="5" t="s">
        <v>232</v>
      </c>
      <c r="E149" s="6">
        <v>45323</v>
      </c>
      <c r="F149" s="6"/>
      <c r="G149" s="7" t="s">
        <v>11</v>
      </c>
      <c r="H149" s="4" t="s">
        <v>17</v>
      </c>
      <c r="I149" s="4" t="s">
        <v>8</v>
      </c>
      <c r="J149" s="8">
        <v>44708</v>
      </c>
      <c r="K149" s="8" t="s">
        <v>67</v>
      </c>
      <c r="L149" s="5" t="s">
        <v>19</v>
      </c>
      <c r="M149" s="5" t="s">
        <v>20</v>
      </c>
      <c r="N149" s="5">
        <v>3.3</v>
      </c>
      <c r="O149" s="9">
        <f>YEAR(Table2[[#This Row],[Date of Joining]])</f>
        <v>2024</v>
      </c>
      <c r="P149" s="9" t="str">
        <f t="shared" ca="1" si="2"/>
        <v>2+ years</v>
      </c>
    </row>
    <row r="150" spans="1:16" x14ac:dyDescent="0.3">
      <c r="A150" s="3" t="s">
        <v>1</v>
      </c>
      <c r="B150" s="3"/>
      <c r="C150" s="4">
        <v>140505</v>
      </c>
      <c r="D150" s="5" t="s">
        <v>233</v>
      </c>
      <c r="E150" s="6">
        <v>45323</v>
      </c>
      <c r="F150" s="6"/>
      <c r="G150" s="7" t="s">
        <v>21</v>
      </c>
      <c r="H150" s="4" t="s">
        <v>17</v>
      </c>
      <c r="I150" s="4" t="s">
        <v>8</v>
      </c>
      <c r="J150" s="8">
        <v>44504</v>
      </c>
      <c r="K150" s="8" t="s">
        <v>67</v>
      </c>
      <c r="L150" s="5" t="s">
        <v>19</v>
      </c>
      <c r="M150" s="5" t="s">
        <v>20</v>
      </c>
      <c r="N150" s="5">
        <v>13</v>
      </c>
      <c r="O150" s="9">
        <f>YEAR(Table2[[#This Row],[Date of Joining]])</f>
        <v>2024</v>
      </c>
      <c r="P150" s="9" t="str">
        <f t="shared" ca="1" si="2"/>
        <v>2+ years</v>
      </c>
    </row>
    <row r="151" spans="1:16" x14ac:dyDescent="0.3">
      <c r="A151" s="3" t="s">
        <v>1</v>
      </c>
      <c r="B151" s="3"/>
      <c r="C151" s="4">
        <v>166500</v>
      </c>
      <c r="D151" s="5" t="s">
        <v>234</v>
      </c>
      <c r="E151" s="6">
        <v>45328</v>
      </c>
      <c r="F151" s="6"/>
      <c r="G151" s="7" t="s">
        <v>11</v>
      </c>
      <c r="H151" s="4" t="s">
        <v>17</v>
      </c>
      <c r="I151" s="4" t="s">
        <v>8</v>
      </c>
      <c r="J151" s="8">
        <v>44906</v>
      </c>
      <c r="K151" s="8" t="s">
        <v>67</v>
      </c>
      <c r="L151" s="5" t="s">
        <v>19</v>
      </c>
      <c r="M151" s="5" t="s">
        <v>24</v>
      </c>
      <c r="N151" s="5">
        <v>1.5</v>
      </c>
      <c r="O151" s="9">
        <f>YEAR(Table2[[#This Row],[Date of Joining]])</f>
        <v>2024</v>
      </c>
      <c r="P151" s="9" t="str">
        <f t="shared" ca="1" si="2"/>
        <v>2+ years</v>
      </c>
    </row>
    <row r="152" spans="1:16" x14ac:dyDescent="0.3">
      <c r="A152" s="3" t="s">
        <v>1</v>
      </c>
      <c r="B152" s="3" t="s">
        <v>158</v>
      </c>
      <c r="C152" s="4">
        <v>196256</v>
      </c>
      <c r="D152" s="5" t="s">
        <v>235</v>
      </c>
      <c r="E152" s="6">
        <v>45366</v>
      </c>
      <c r="F152" s="6"/>
      <c r="G152" s="7" t="s">
        <v>11</v>
      </c>
      <c r="H152" s="4" t="s">
        <v>17</v>
      </c>
      <c r="I152" s="4" t="s">
        <v>8</v>
      </c>
      <c r="J152" s="8">
        <v>44319</v>
      </c>
      <c r="K152" s="8" t="s">
        <v>70</v>
      </c>
      <c r="L152" s="5" t="s">
        <v>19</v>
      </c>
      <c r="M152" s="5" t="s">
        <v>20</v>
      </c>
      <c r="N152" s="5">
        <v>3</v>
      </c>
      <c r="O152" s="9">
        <f>YEAR(Table2[[#This Row],[Date of Joining]])</f>
        <v>2024</v>
      </c>
      <c r="P152" s="9" t="str">
        <f t="shared" ca="1" si="2"/>
        <v>2+ years</v>
      </c>
    </row>
    <row r="153" spans="1:16" x14ac:dyDescent="0.3">
      <c r="A153" s="3" t="s">
        <v>1</v>
      </c>
      <c r="B153" s="3"/>
      <c r="C153" s="4">
        <v>107622</v>
      </c>
      <c r="D153" s="5" t="s">
        <v>236</v>
      </c>
      <c r="E153" s="6">
        <v>45366</v>
      </c>
      <c r="F153" s="6"/>
      <c r="G153" s="7" t="s">
        <v>16</v>
      </c>
      <c r="H153" s="4" t="s">
        <v>17</v>
      </c>
      <c r="I153" s="4" t="s">
        <v>8</v>
      </c>
      <c r="J153" s="8">
        <v>44314</v>
      </c>
      <c r="K153" s="8" t="s">
        <v>67</v>
      </c>
      <c r="L153" s="5" t="s">
        <v>23</v>
      </c>
      <c r="M153" s="5" t="s">
        <v>20</v>
      </c>
      <c r="N153" s="5">
        <v>13</v>
      </c>
      <c r="O153" s="9">
        <f>YEAR(Table2[[#This Row],[Date of Joining]])</f>
        <v>2024</v>
      </c>
      <c r="P153" s="9" t="str">
        <f t="shared" ca="1" si="2"/>
        <v>2+ years</v>
      </c>
    </row>
    <row r="154" spans="1:16" x14ac:dyDescent="0.3">
      <c r="A154" s="3" t="s">
        <v>1</v>
      </c>
      <c r="B154" s="3"/>
      <c r="C154" s="4">
        <v>140845</v>
      </c>
      <c r="D154" s="5" t="s">
        <v>237</v>
      </c>
      <c r="E154" s="6">
        <v>45374</v>
      </c>
      <c r="F154" s="6"/>
      <c r="G154" s="5" t="s">
        <v>28</v>
      </c>
      <c r="H154" s="4" t="s">
        <v>17</v>
      </c>
      <c r="I154" s="4" t="s">
        <v>13</v>
      </c>
      <c r="J154" s="8">
        <v>45081</v>
      </c>
      <c r="K154" s="8" t="s">
        <v>67</v>
      </c>
      <c r="L154" s="5" t="s">
        <v>23</v>
      </c>
      <c r="M154" s="5" t="s">
        <v>20</v>
      </c>
      <c r="N154" s="5">
        <v>10</v>
      </c>
      <c r="O154" s="9">
        <f>YEAR(Table2[[#This Row],[Date of Joining]])</f>
        <v>2024</v>
      </c>
      <c r="P154" s="9" t="str">
        <f t="shared" ca="1" si="2"/>
        <v>1+ years</v>
      </c>
    </row>
    <row r="155" spans="1:16" x14ac:dyDescent="0.3">
      <c r="A155" s="3" t="s">
        <v>1</v>
      </c>
      <c r="B155" s="3"/>
      <c r="C155" s="4">
        <v>196163</v>
      </c>
      <c r="D155" s="5" t="s">
        <v>238</v>
      </c>
      <c r="E155" s="6">
        <v>45374</v>
      </c>
      <c r="F155" s="6"/>
      <c r="G155" s="5" t="s">
        <v>34</v>
      </c>
      <c r="H155" s="4" t="s">
        <v>17</v>
      </c>
      <c r="I155" s="4" t="s">
        <v>13</v>
      </c>
      <c r="J155" s="8">
        <v>44911</v>
      </c>
      <c r="K155" s="8" t="s">
        <v>67</v>
      </c>
      <c r="L155" s="5" t="s">
        <v>19</v>
      </c>
      <c r="M155" s="5" t="s">
        <v>20</v>
      </c>
      <c r="N155" s="5">
        <v>6.8</v>
      </c>
      <c r="O155" s="9">
        <f>YEAR(Table2[[#This Row],[Date of Joining]])</f>
        <v>2024</v>
      </c>
      <c r="P155" s="9" t="str">
        <f t="shared" ca="1" si="2"/>
        <v>1+ years</v>
      </c>
    </row>
    <row r="156" spans="1:16" x14ac:dyDescent="0.3">
      <c r="A156" s="3" t="s">
        <v>1</v>
      </c>
      <c r="B156" s="3"/>
      <c r="C156" s="4">
        <v>143527</v>
      </c>
      <c r="D156" s="5" t="s">
        <v>239</v>
      </c>
      <c r="E156" s="6">
        <v>45374</v>
      </c>
      <c r="F156" s="6"/>
      <c r="G156" s="7" t="s">
        <v>21</v>
      </c>
      <c r="H156" s="4" t="s">
        <v>17</v>
      </c>
      <c r="I156" s="4" t="s">
        <v>13</v>
      </c>
      <c r="J156" s="8">
        <v>44241</v>
      </c>
      <c r="K156" s="8" t="s">
        <v>70</v>
      </c>
      <c r="L156" s="5" t="s">
        <v>14</v>
      </c>
      <c r="M156" s="5" t="s">
        <v>27</v>
      </c>
      <c r="N156" s="5">
        <v>7</v>
      </c>
      <c r="O156" s="9">
        <f>YEAR(Table2[[#This Row],[Date of Joining]])</f>
        <v>2024</v>
      </c>
      <c r="P156" s="9" t="str">
        <f t="shared" ca="1" si="2"/>
        <v>1+ years</v>
      </c>
    </row>
    <row r="157" spans="1:16" x14ac:dyDescent="0.3">
      <c r="A157" s="3" t="s">
        <v>1</v>
      </c>
      <c r="B157" s="3"/>
      <c r="C157" s="4">
        <v>121781</v>
      </c>
      <c r="D157" s="5" t="s">
        <v>240</v>
      </c>
      <c r="E157" s="6">
        <v>45374</v>
      </c>
      <c r="F157" s="6"/>
      <c r="G157" s="7" t="s">
        <v>21</v>
      </c>
      <c r="H157" s="4" t="s">
        <v>17</v>
      </c>
      <c r="I157" s="4" t="s">
        <v>13</v>
      </c>
      <c r="J157" s="8">
        <v>44266</v>
      </c>
      <c r="K157" s="8" t="s">
        <v>67</v>
      </c>
      <c r="L157" s="5" t="s">
        <v>14</v>
      </c>
      <c r="M157" s="5" t="s">
        <v>27</v>
      </c>
      <c r="N157" s="5">
        <v>13</v>
      </c>
      <c r="O157" s="9">
        <f>YEAR(Table2[[#This Row],[Date of Joining]])</f>
        <v>2024</v>
      </c>
      <c r="P157" s="9" t="str">
        <f t="shared" ca="1" si="2"/>
        <v>1+ years</v>
      </c>
    </row>
    <row r="158" spans="1:16" x14ac:dyDescent="0.3">
      <c r="A158" s="3" t="s">
        <v>1</v>
      </c>
      <c r="B158" s="3" t="s">
        <v>158</v>
      </c>
      <c r="C158" s="4">
        <v>190716</v>
      </c>
      <c r="D158" s="5" t="s">
        <v>241</v>
      </c>
      <c r="E158" s="6">
        <v>45385</v>
      </c>
      <c r="F158" s="6"/>
      <c r="G158" s="5" t="s">
        <v>28</v>
      </c>
      <c r="H158" s="4" t="s">
        <v>17</v>
      </c>
      <c r="I158" s="4" t="s">
        <v>8</v>
      </c>
      <c r="J158" s="8">
        <v>44362</v>
      </c>
      <c r="K158" s="8" t="s">
        <v>70</v>
      </c>
      <c r="L158" s="5" t="s">
        <v>19</v>
      </c>
      <c r="M158" s="5" t="s">
        <v>27</v>
      </c>
      <c r="N158" s="5">
        <v>4</v>
      </c>
      <c r="O158" s="9">
        <f>YEAR(Table2[[#This Row],[Date of Joining]])</f>
        <v>2024</v>
      </c>
      <c r="P158" s="9" t="str">
        <f t="shared" ca="1" si="2"/>
        <v>1+ years</v>
      </c>
    </row>
    <row r="159" spans="1:16" x14ac:dyDescent="0.3">
      <c r="A159" s="3" t="s">
        <v>1</v>
      </c>
      <c r="B159" s="3"/>
      <c r="C159" s="4">
        <v>131453</v>
      </c>
      <c r="D159" s="5" t="s">
        <v>242</v>
      </c>
      <c r="E159" s="6">
        <v>45385</v>
      </c>
      <c r="F159" s="6"/>
      <c r="G159" s="7" t="s">
        <v>16</v>
      </c>
      <c r="H159" s="4" t="s">
        <v>17</v>
      </c>
      <c r="I159" s="4" t="s">
        <v>13</v>
      </c>
      <c r="J159" s="8">
        <v>44940</v>
      </c>
      <c r="K159" s="8" t="s">
        <v>67</v>
      </c>
      <c r="L159" s="5" t="s">
        <v>19</v>
      </c>
      <c r="M159" s="5" t="s">
        <v>30</v>
      </c>
      <c r="N159" s="5">
        <v>8</v>
      </c>
      <c r="O159" s="9">
        <f>YEAR(Table2[[#This Row],[Date of Joining]])</f>
        <v>2024</v>
      </c>
      <c r="P159" s="9" t="str">
        <f t="shared" ca="1" si="2"/>
        <v>1+ years</v>
      </c>
    </row>
    <row r="160" spans="1:16" x14ac:dyDescent="0.3">
      <c r="A160" s="3" t="s">
        <v>1</v>
      </c>
      <c r="B160" s="3"/>
      <c r="C160" s="4">
        <v>133611</v>
      </c>
      <c r="D160" s="5" t="s">
        <v>243</v>
      </c>
      <c r="E160" s="6">
        <v>45401</v>
      </c>
      <c r="F160" s="6"/>
      <c r="G160" s="7" t="s">
        <v>16</v>
      </c>
      <c r="H160" s="4" t="s">
        <v>17</v>
      </c>
      <c r="I160" s="4" t="s">
        <v>8</v>
      </c>
      <c r="J160" s="8">
        <v>36300</v>
      </c>
      <c r="K160" s="8" t="s">
        <v>67</v>
      </c>
      <c r="L160" s="5" t="s">
        <v>19</v>
      </c>
      <c r="M160" s="5" t="s">
        <v>33</v>
      </c>
      <c r="N160" s="5">
        <v>0</v>
      </c>
      <c r="O160" s="9">
        <f>YEAR(Table2[[#This Row],[Date of Joining]])</f>
        <v>2024</v>
      </c>
      <c r="P160" s="9" t="str">
        <f t="shared" ca="1" si="2"/>
        <v>1+ years</v>
      </c>
    </row>
    <row r="161" spans="1:16" x14ac:dyDescent="0.3">
      <c r="A161" s="3" t="s">
        <v>1</v>
      </c>
      <c r="B161" s="3"/>
      <c r="C161" s="4">
        <v>158773</v>
      </c>
      <c r="D161" s="5" t="s">
        <v>244</v>
      </c>
      <c r="E161" s="6">
        <v>45427</v>
      </c>
      <c r="F161" s="6"/>
      <c r="G161" s="5" t="s">
        <v>28</v>
      </c>
      <c r="H161" s="4" t="s">
        <v>17</v>
      </c>
      <c r="I161" s="4" t="s">
        <v>13</v>
      </c>
      <c r="J161" s="8">
        <v>45073</v>
      </c>
      <c r="K161" s="8" t="s">
        <v>67</v>
      </c>
      <c r="L161" s="5" t="s">
        <v>19</v>
      </c>
      <c r="M161" s="5" t="s">
        <v>27</v>
      </c>
      <c r="N161" s="5">
        <v>3</v>
      </c>
      <c r="O161" s="9">
        <f>YEAR(Table2[[#This Row],[Date of Joining]])</f>
        <v>2024</v>
      </c>
      <c r="P161" s="9" t="str">
        <f t="shared" ca="1" si="2"/>
        <v>1+ years</v>
      </c>
    </row>
    <row r="162" spans="1:16" x14ac:dyDescent="0.3">
      <c r="A162" s="3" t="s">
        <v>1</v>
      </c>
      <c r="B162" s="3"/>
      <c r="C162" s="4">
        <v>109333</v>
      </c>
      <c r="D162" s="5" t="s">
        <v>245</v>
      </c>
      <c r="E162" s="6">
        <v>45434</v>
      </c>
      <c r="F162" s="6"/>
      <c r="G162" s="7" t="s">
        <v>11</v>
      </c>
      <c r="H162" s="4" t="s">
        <v>17</v>
      </c>
      <c r="I162" s="4" t="s">
        <v>13</v>
      </c>
      <c r="J162" s="8">
        <v>45142</v>
      </c>
      <c r="K162" s="8" t="s">
        <v>70</v>
      </c>
      <c r="L162" s="5" t="s">
        <v>23</v>
      </c>
      <c r="M162" s="5" t="s">
        <v>24</v>
      </c>
      <c r="N162" s="5">
        <v>10</v>
      </c>
      <c r="O162" s="9">
        <f>YEAR(Table2[[#This Row],[Date of Joining]])</f>
        <v>2024</v>
      </c>
      <c r="P162" s="9" t="str">
        <f t="shared" ca="1" si="2"/>
        <v>1+ years</v>
      </c>
    </row>
    <row r="163" spans="1:16" x14ac:dyDescent="0.3">
      <c r="A163" s="3" t="s">
        <v>1</v>
      </c>
      <c r="B163" s="3"/>
      <c r="C163" s="4">
        <v>165233</v>
      </c>
      <c r="D163" s="5" t="s">
        <v>246</v>
      </c>
      <c r="E163" s="6">
        <v>45455</v>
      </c>
      <c r="F163" s="6"/>
      <c r="G163" s="7" t="s">
        <v>11</v>
      </c>
      <c r="H163" s="4" t="s">
        <v>17</v>
      </c>
      <c r="I163" s="4" t="s">
        <v>13</v>
      </c>
      <c r="J163" s="8">
        <v>45022</v>
      </c>
      <c r="K163" s="8" t="s">
        <v>67</v>
      </c>
      <c r="L163" s="5" t="s">
        <v>19</v>
      </c>
      <c r="M163" s="5" t="s">
        <v>27</v>
      </c>
      <c r="N163" s="5">
        <v>1.2</v>
      </c>
      <c r="O163" s="9">
        <f>YEAR(Table2[[#This Row],[Date of Joining]])</f>
        <v>2024</v>
      </c>
      <c r="P163" s="9" t="str">
        <f t="shared" ca="1" si="2"/>
        <v>1+ years</v>
      </c>
    </row>
    <row r="164" spans="1:16" x14ac:dyDescent="0.3">
      <c r="A164" s="3" t="s">
        <v>1</v>
      </c>
      <c r="B164" s="3" t="s">
        <v>158</v>
      </c>
      <c r="C164" s="4">
        <v>103360</v>
      </c>
      <c r="D164" s="5" t="s">
        <v>247</v>
      </c>
      <c r="E164" s="6">
        <v>45569</v>
      </c>
      <c r="F164" s="6"/>
      <c r="G164" s="7" t="s">
        <v>11</v>
      </c>
      <c r="H164" s="4" t="s">
        <v>17</v>
      </c>
      <c r="I164" s="4" t="s">
        <v>8</v>
      </c>
      <c r="J164" s="8">
        <v>36982</v>
      </c>
      <c r="K164" s="8" t="s">
        <v>67</v>
      </c>
      <c r="L164" s="5" t="s">
        <v>19</v>
      </c>
      <c r="M164" s="5" t="s">
        <v>20</v>
      </c>
      <c r="N164" s="5">
        <v>0.11</v>
      </c>
      <c r="O164" s="9">
        <f>YEAR(Table2[[#This Row],[Date of Joining]])</f>
        <v>2024</v>
      </c>
      <c r="P164" s="9" t="str">
        <f t="shared" ca="1" si="2"/>
        <v>1+ years</v>
      </c>
    </row>
    <row r="165" spans="1:16" x14ac:dyDescent="0.3">
      <c r="A165" s="3" t="s">
        <v>1</v>
      </c>
      <c r="B165" s="3"/>
      <c r="C165" s="4">
        <v>168841</v>
      </c>
      <c r="D165" s="5" t="s">
        <v>31</v>
      </c>
      <c r="E165" s="6">
        <v>45569</v>
      </c>
      <c r="F165" s="6"/>
      <c r="G165" s="7" t="s">
        <v>11</v>
      </c>
      <c r="H165" s="4" t="s">
        <v>17</v>
      </c>
      <c r="I165" s="4" t="s">
        <v>13</v>
      </c>
      <c r="J165" s="8">
        <v>29954</v>
      </c>
      <c r="K165" s="8" t="s">
        <v>70</v>
      </c>
      <c r="L165" s="5" t="s">
        <v>14</v>
      </c>
      <c r="M165" s="5" t="s">
        <v>33</v>
      </c>
      <c r="N165" s="5">
        <v>19</v>
      </c>
      <c r="O165" s="9">
        <f>YEAR(Table2[[#This Row],[Date of Joining]])</f>
        <v>2024</v>
      </c>
      <c r="P165" s="9" t="str">
        <f t="shared" ca="1" si="2"/>
        <v>1+ years</v>
      </c>
    </row>
    <row r="166" spans="1:16" x14ac:dyDescent="0.3">
      <c r="A166" s="3" t="s">
        <v>5</v>
      </c>
      <c r="B166" s="3"/>
      <c r="C166" s="4">
        <v>123680</v>
      </c>
      <c r="D166" s="5" t="s">
        <v>248</v>
      </c>
      <c r="E166" s="6">
        <v>45658</v>
      </c>
      <c r="F166" s="6"/>
      <c r="G166" s="5" t="s">
        <v>31</v>
      </c>
      <c r="H166" s="4" t="s">
        <v>17</v>
      </c>
      <c r="I166" s="4" t="s">
        <v>8</v>
      </c>
      <c r="J166" s="8">
        <v>44211</v>
      </c>
      <c r="K166" s="8" t="s">
        <v>67</v>
      </c>
      <c r="L166" s="5" t="s">
        <v>19</v>
      </c>
      <c r="M166" s="5" t="s">
        <v>30</v>
      </c>
      <c r="N166" s="5">
        <v>0</v>
      </c>
      <c r="O166" s="9">
        <f>YEAR(Table2[[#This Row],[Date of Joining]])</f>
        <v>2025</v>
      </c>
      <c r="P166" s="9" t="str">
        <f t="shared" ca="1" si="2"/>
        <v>1+ years</v>
      </c>
    </row>
    <row r="167" spans="1:16" x14ac:dyDescent="0.3">
      <c r="A167" s="3" t="s">
        <v>1</v>
      </c>
      <c r="B167" s="3"/>
      <c r="C167" s="4">
        <v>136555</v>
      </c>
      <c r="D167" s="5" t="s">
        <v>249</v>
      </c>
      <c r="E167" s="6">
        <v>45662</v>
      </c>
      <c r="F167" s="6"/>
      <c r="G167" s="5" t="s">
        <v>31</v>
      </c>
      <c r="H167" s="4" t="s">
        <v>17</v>
      </c>
      <c r="I167" s="4" t="s">
        <v>13</v>
      </c>
      <c r="J167" s="8">
        <v>44472</v>
      </c>
      <c r="K167" s="8" t="s">
        <v>70</v>
      </c>
      <c r="L167" s="5" t="s">
        <v>14</v>
      </c>
      <c r="M167" s="5" t="s">
        <v>10</v>
      </c>
      <c r="N167" s="5">
        <v>5</v>
      </c>
      <c r="O167" s="9">
        <f>YEAR(Table2[[#This Row],[Date of Joining]])</f>
        <v>2025</v>
      </c>
      <c r="P167" s="9" t="str">
        <f t="shared" ca="1" si="2"/>
        <v>1+ years</v>
      </c>
    </row>
    <row r="168" spans="1:16" x14ac:dyDescent="0.3">
      <c r="A168" s="3" t="s">
        <v>1</v>
      </c>
      <c r="B168" s="3"/>
      <c r="C168" s="4">
        <v>109886</v>
      </c>
      <c r="D168" s="5" t="s">
        <v>250</v>
      </c>
      <c r="E168" s="6">
        <v>45664</v>
      </c>
      <c r="F168" s="6"/>
      <c r="G168" s="5" t="s">
        <v>31</v>
      </c>
      <c r="H168" s="4" t="s">
        <v>17</v>
      </c>
      <c r="I168" s="4" t="s">
        <v>8</v>
      </c>
      <c r="J168" s="8">
        <v>44540</v>
      </c>
      <c r="K168" s="8" t="s">
        <v>70</v>
      </c>
      <c r="L168" s="5" t="s">
        <v>14</v>
      </c>
      <c r="M168" s="5" t="s">
        <v>30</v>
      </c>
      <c r="N168" s="5">
        <v>14</v>
      </c>
      <c r="O168" s="9">
        <f>YEAR(Table2[[#This Row],[Date of Joining]])</f>
        <v>2025</v>
      </c>
      <c r="P168" s="9" t="str">
        <f t="shared" ca="1" si="2"/>
        <v>1+ years</v>
      </c>
    </row>
    <row r="169" spans="1:16" x14ac:dyDescent="0.3">
      <c r="A169" s="3" t="s">
        <v>1</v>
      </c>
      <c r="B169" s="3"/>
      <c r="C169" s="4">
        <v>135596</v>
      </c>
      <c r="D169" s="5" t="s">
        <v>251</v>
      </c>
      <c r="E169" s="6">
        <v>45671</v>
      </c>
      <c r="F169" s="6"/>
      <c r="G169" s="5" t="s">
        <v>28</v>
      </c>
      <c r="H169" s="4" t="s">
        <v>17</v>
      </c>
      <c r="I169" s="4" t="s">
        <v>13</v>
      </c>
      <c r="J169" s="8">
        <v>44269</v>
      </c>
      <c r="K169" s="8" t="s">
        <v>67</v>
      </c>
      <c r="L169" s="5" t="s">
        <v>23</v>
      </c>
      <c r="M169" s="5" t="s">
        <v>30</v>
      </c>
      <c r="N169" s="5">
        <v>0</v>
      </c>
      <c r="O169" s="9">
        <f>YEAR(Table2[[#This Row],[Date of Joining]])</f>
        <v>2025</v>
      </c>
      <c r="P169" s="9" t="str">
        <f t="shared" ca="1" si="2"/>
        <v>1+ years</v>
      </c>
    </row>
    <row r="170" spans="1:16" x14ac:dyDescent="0.3">
      <c r="A170" s="3" t="s">
        <v>1</v>
      </c>
      <c r="B170" s="3"/>
      <c r="C170" s="4">
        <v>102045</v>
      </c>
      <c r="D170" s="5" t="s">
        <v>252</v>
      </c>
      <c r="E170" s="6">
        <v>45720</v>
      </c>
      <c r="F170" s="6"/>
      <c r="G170" s="7" t="s">
        <v>11</v>
      </c>
      <c r="H170" s="4" t="s">
        <v>17</v>
      </c>
      <c r="I170" s="4" t="s">
        <v>8</v>
      </c>
      <c r="J170" s="8">
        <v>44216</v>
      </c>
      <c r="K170" s="8" t="s">
        <v>67</v>
      </c>
      <c r="L170" s="5" t="s">
        <v>14</v>
      </c>
      <c r="M170" s="5" t="s">
        <v>10</v>
      </c>
      <c r="N170" s="5">
        <v>17</v>
      </c>
      <c r="O170" s="9">
        <f>YEAR(Table2[[#This Row],[Date of Joining]])</f>
        <v>2025</v>
      </c>
      <c r="P170" s="9" t="str">
        <f t="shared" ca="1" si="2"/>
        <v>1+ years</v>
      </c>
    </row>
    <row r="171" spans="1:16" x14ac:dyDescent="0.3">
      <c r="A171" s="3" t="s">
        <v>1</v>
      </c>
      <c r="B171" s="3"/>
      <c r="C171" s="4">
        <v>137966</v>
      </c>
      <c r="D171" s="5" t="s">
        <v>253</v>
      </c>
      <c r="E171" s="6">
        <v>45852</v>
      </c>
      <c r="F171" s="6"/>
      <c r="G171" s="7" t="s">
        <v>11</v>
      </c>
      <c r="H171" s="4" t="s">
        <v>17</v>
      </c>
      <c r="I171" s="4" t="s">
        <v>13</v>
      </c>
      <c r="J171" s="8">
        <v>44507</v>
      </c>
      <c r="K171" s="8" t="s">
        <v>70</v>
      </c>
      <c r="L171" s="5" t="s">
        <v>23</v>
      </c>
      <c r="M171" s="5" t="s">
        <v>30</v>
      </c>
      <c r="N171" s="5">
        <v>9</v>
      </c>
      <c r="O171" s="9">
        <f>YEAR(Table2[[#This Row],[Date of Joining]])</f>
        <v>2025</v>
      </c>
      <c r="P171" s="9" t="str">
        <f t="shared" ca="1" si="2"/>
        <v>&lt;1 year</v>
      </c>
    </row>
    <row r="172" spans="1:16" x14ac:dyDescent="0.3">
      <c r="A172" s="3" t="s">
        <v>1</v>
      </c>
      <c r="B172" s="3"/>
      <c r="C172" s="4">
        <v>146341</v>
      </c>
      <c r="D172" s="5" t="s">
        <v>254</v>
      </c>
      <c r="E172" s="6">
        <v>45857</v>
      </c>
      <c r="F172" s="6"/>
      <c r="G172" s="7" t="s">
        <v>11</v>
      </c>
      <c r="H172" s="4" t="s">
        <v>17</v>
      </c>
      <c r="I172" s="4" t="s">
        <v>8</v>
      </c>
      <c r="J172" s="8">
        <v>44220</v>
      </c>
      <c r="K172" s="8" t="s">
        <v>70</v>
      </c>
      <c r="L172" s="5" t="s">
        <v>23</v>
      </c>
      <c r="M172" s="5" t="s">
        <v>30</v>
      </c>
      <c r="N172" s="5">
        <v>13</v>
      </c>
      <c r="O172" s="9">
        <f>YEAR(Table2[[#This Row],[Date of Joining]])</f>
        <v>2025</v>
      </c>
      <c r="P172" s="9" t="str">
        <f t="shared" ca="1" si="2"/>
        <v>&lt;1 year</v>
      </c>
    </row>
  </sheetData>
  <conditionalFormatting sqref="A2:A172 H2:P51 C2:E172 G12 G20 G28 G52:P52 H53:P53 G54:P55 H56:P56 G57:P57 H58:P58 G59:P60 H61:P62 G63:P63 H64:P66 G67:P70 H71:P71 G72:P74 H75:P75 G76:P77 H78:P79 G80:P80 H81:P82 G83:P84 H85:P85 G86:P88 H89:P89 G90:P102 H103:P103 G104:P108 H109:P109 G110:P113 H114:P114 G115:P125 H126:P126 G127:P131 H132:P132 G133:P134 H135:P135 G136:P136 H137:P137 G138:P139 H140:P140 G141:P143 H144:P172">
    <cfRule type="containsBlanks" dxfId="23" priority="28">
      <formula>LEN(TRIM(A2))=0</formula>
    </cfRule>
  </conditionalFormatting>
  <conditionalFormatting sqref="A2:A172">
    <cfRule type="cellIs" dxfId="22" priority="21" operator="equal">
      <formula>"Open Position"</formula>
    </cfRule>
  </conditionalFormatting>
  <conditionalFormatting sqref="E46">
    <cfRule type="containsBlanks" dxfId="21" priority="26">
      <formula>LEN(TRIM(E46))=0</formula>
    </cfRule>
  </conditionalFormatting>
  <conditionalFormatting sqref="G2:G4">
    <cfRule type="containsBlanks" dxfId="20" priority="18">
      <formula>LEN(TRIM(G2))=0</formula>
    </cfRule>
  </conditionalFormatting>
  <conditionalFormatting sqref="G7">
    <cfRule type="containsBlanks" dxfId="19" priority="14">
      <formula>LEN(TRIM(G7))=0</formula>
    </cfRule>
  </conditionalFormatting>
  <conditionalFormatting sqref="G33">
    <cfRule type="containsBlanks" dxfId="18" priority="25">
      <formula>LEN(TRIM(G33))=0</formula>
    </cfRule>
  </conditionalFormatting>
  <conditionalFormatting sqref="G37:G38">
    <cfRule type="containsBlanks" dxfId="17" priority="5">
      <formula>LEN(TRIM(G37))=0</formula>
    </cfRule>
  </conditionalFormatting>
  <conditionalFormatting sqref="G46:G47">
    <cfRule type="containsBlanks" dxfId="16" priority="15">
      <formula>LEN(TRIM(G46))=0</formula>
    </cfRule>
  </conditionalFormatting>
  <conditionalFormatting sqref="G49">
    <cfRule type="containsBlanks" dxfId="15" priority="16">
      <formula>LEN(TRIM(G49))=0</formula>
    </cfRule>
  </conditionalFormatting>
  <conditionalFormatting sqref="G51">
    <cfRule type="containsBlanks" dxfId="14" priority="17">
      <formula>LEN(TRIM(G51))=0</formula>
    </cfRule>
  </conditionalFormatting>
  <conditionalFormatting sqref="G56">
    <cfRule type="containsBlanks" dxfId="13" priority="13">
      <formula>LEN(TRIM(G56))=0</formula>
    </cfRule>
  </conditionalFormatting>
  <conditionalFormatting sqref="G64">
    <cfRule type="containsBlanks" dxfId="12" priority="6">
      <formula>LEN(TRIM(G64))=0</formula>
    </cfRule>
  </conditionalFormatting>
  <conditionalFormatting sqref="G71">
    <cfRule type="containsBlanks" dxfId="11" priority="12">
      <formula>LEN(TRIM(G71))=0</formula>
    </cfRule>
  </conditionalFormatting>
  <conditionalFormatting sqref="G75">
    <cfRule type="containsBlanks" dxfId="10" priority="11">
      <formula>LEN(TRIM(G75))=0</formula>
    </cfRule>
  </conditionalFormatting>
  <conditionalFormatting sqref="G78:G79">
    <cfRule type="containsBlanks" dxfId="9" priority="4">
      <formula>LEN(TRIM(G78))=0</formula>
    </cfRule>
  </conditionalFormatting>
  <conditionalFormatting sqref="G85">
    <cfRule type="containsBlanks" dxfId="8" priority="3">
      <formula>LEN(TRIM(G85))=0</formula>
    </cfRule>
  </conditionalFormatting>
  <conditionalFormatting sqref="G132">
    <cfRule type="containsBlanks" dxfId="7" priority="8">
      <formula>LEN(TRIM(G132))=0</formula>
    </cfRule>
  </conditionalFormatting>
  <conditionalFormatting sqref="G137">
    <cfRule type="containsBlanks" dxfId="6" priority="9">
      <formula>LEN(TRIM(G137))=0</formula>
    </cfRule>
  </conditionalFormatting>
  <conditionalFormatting sqref="G140">
    <cfRule type="containsBlanks" dxfId="5" priority="2">
      <formula>LEN(TRIM(G140))=0</formula>
    </cfRule>
  </conditionalFormatting>
  <conditionalFormatting sqref="G144:G145">
    <cfRule type="containsBlanks" dxfId="4" priority="1">
      <formula>LEN(TRIM(G144))=0</formula>
    </cfRule>
  </conditionalFormatting>
  <conditionalFormatting sqref="G147 G150">
    <cfRule type="containsBlanks" dxfId="3" priority="7">
      <formula>LEN(TRIM(G147))=0</formula>
    </cfRule>
  </conditionalFormatting>
  <conditionalFormatting sqref="G156:G161">
    <cfRule type="containsBlanks" dxfId="2" priority="10">
      <formula>LEN(TRIM(G156))=0</formula>
    </cfRule>
  </conditionalFormatting>
  <conditionalFormatting sqref="G170">
    <cfRule type="containsBlanks" dxfId="1" priority="19">
      <formula>LEN(TRIM(G170))=0</formula>
    </cfRule>
  </conditionalFormatting>
  <conditionalFormatting sqref="M39 M67 M84 M97 M111 M113 M115 M122 M129 M132:M133">
    <cfRule type="containsBlanks" dxfId="0" priority="27">
      <formula>LEN(TRIM(M39))=0</formula>
    </cfRule>
  </conditionalFormatting>
  <hyperlinks>
    <hyperlink ref="D96" r:id="rId1" display="Prashantha.S@otis.com" xr:uid="{32945571-D028-4147-AEFC-1AC049F3F737}"/>
    <hyperlink ref="D13" r:id="rId2" display="Ishwarya.S@otis.com" xr:uid="{A2E5EEF4-DCF0-451D-BE90-0D9C27CABDF9}"/>
    <hyperlink ref="D124" r:id="rId3" display="vijay.patil@otis.com" xr:uid="{BB925652-F33F-4465-929F-42E3B621CE18}"/>
  </hyperlinks>
  <pageMargins left="0.7" right="0.7" top="0.75" bottom="0.75" header="0.3" footer="0.3"/>
  <pageSetup orientation="portrait"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HR Dashboard</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sowmiya m</cp:lastModifiedBy>
  <cp:revision/>
  <dcterms:created xsi:type="dcterms:W3CDTF">2025-11-28T13:26:08Z</dcterms:created>
  <dcterms:modified xsi:type="dcterms:W3CDTF">2026-03-17T10:45:10Z</dcterms:modified>
  <cp:category/>
  <cp:contentStatus/>
</cp:coreProperties>
</file>